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0227250\Downloads\"/>
    </mc:Choice>
  </mc:AlternateContent>
  <xr:revisionPtr revIDLastSave="0" documentId="13_ncr:1_{82DFFBF4-2D82-4311-AE98-40A7BE25C4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ippmix napló" sheetId="1" r:id="rId1"/>
    <sheet name="Havi elemzés" sheetId="5" r:id="rId2"/>
    <sheet name="Heti elemzés" sheetId="2" r:id="rId3"/>
    <sheet name="Statisztika" sheetId="3" r:id="rId4"/>
    <sheet name="Használat" sheetId="4" r:id="rId5"/>
  </sheets>
  <definedNames>
    <definedName name="_xlnm._FilterDatabase" localSheetId="1" hidden="1">'Havi elemzés'!$A$6:$J$18</definedName>
    <definedName name="_xlnm._FilterDatabase" localSheetId="2" hidden="1">'Heti elemzés'!$A$6:$J$59</definedName>
    <definedName name="_xlnm.Print_Titles" localSheetId="2">'Heti elemzés'!$1:$6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" l="1"/>
  <c r="B17" i="5"/>
  <c r="B16" i="5"/>
  <c r="B15" i="5"/>
  <c r="B14" i="5"/>
  <c r="B13" i="5"/>
  <c r="B12" i="5"/>
  <c r="C12" i="5" s="1"/>
  <c r="B11" i="5"/>
  <c r="B10" i="5"/>
  <c r="C10" i="5" s="1"/>
  <c r="E10" i="5" s="1"/>
  <c r="B9" i="5"/>
  <c r="B8" i="5"/>
  <c r="B7" i="5"/>
  <c r="C7" i="5" s="1"/>
  <c r="B8" i="3"/>
  <c r="B7" i="3"/>
  <c r="B6" i="3"/>
  <c r="B59" i="2"/>
  <c r="C59" i="2" s="1"/>
  <c r="I59" i="2" s="1"/>
  <c r="B58" i="2"/>
  <c r="A58" i="2" s="1"/>
  <c r="B57" i="2"/>
  <c r="B56" i="2"/>
  <c r="B55" i="2"/>
  <c r="B54" i="2"/>
  <c r="A54" i="2" s="1"/>
  <c r="B53" i="2"/>
  <c r="C53" i="2" s="1"/>
  <c r="B52" i="2"/>
  <c r="C52" i="2" s="1"/>
  <c r="I52" i="2" s="1"/>
  <c r="B51" i="2"/>
  <c r="A51" i="2" s="1"/>
  <c r="B50" i="2"/>
  <c r="A50" i="2" s="1"/>
  <c r="B49" i="2"/>
  <c r="B48" i="2"/>
  <c r="C48" i="2" s="1"/>
  <c r="B47" i="2"/>
  <c r="C47" i="2" s="1"/>
  <c r="B46" i="2"/>
  <c r="C46" i="2" s="1"/>
  <c r="B45" i="2"/>
  <c r="C45" i="2" s="1"/>
  <c r="B44" i="2"/>
  <c r="A44" i="2" s="1"/>
  <c r="B43" i="2"/>
  <c r="A43" i="2" s="1"/>
  <c r="B42" i="2"/>
  <c r="B41" i="2"/>
  <c r="C41" i="2" s="1"/>
  <c r="D41" i="2" s="1"/>
  <c r="B40" i="2"/>
  <c r="A40" i="2" s="1"/>
  <c r="B39" i="2"/>
  <c r="C39" i="2" s="1"/>
  <c r="H39" i="2" s="1"/>
  <c r="B38" i="2"/>
  <c r="C38" i="2" s="1"/>
  <c r="I38" i="2" s="1"/>
  <c r="B37" i="2"/>
  <c r="A37" i="2" s="1"/>
  <c r="B36" i="2"/>
  <c r="A36" i="2" s="1"/>
  <c r="B35" i="2"/>
  <c r="B34" i="2"/>
  <c r="B33" i="2"/>
  <c r="C33" i="2" s="1"/>
  <c r="B32" i="2"/>
  <c r="C32" i="2" s="1"/>
  <c r="H32" i="2" s="1"/>
  <c r="B31" i="2"/>
  <c r="C31" i="2" s="1"/>
  <c r="E31" i="2" s="1"/>
  <c r="B30" i="2"/>
  <c r="A30" i="2" s="1"/>
  <c r="B29" i="2"/>
  <c r="A29" i="2" s="1"/>
  <c r="B28" i="2"/>
  <c r="B27" i="2"/>
  <c r="B26" i="2"/>
  <c r="C26" i="2" s="1"/>
  <c r="B25" i="2"/>
  <c r="C25" i="2" s="1"/>
  <c r="I25" i="2" s="1"/>
  <c r="B24" i="2"/>
  <c r="C24" i="2" s="1"/>
  <c r="B23" i="2"/>
  <c r="A23" i="2" s="1"/>
  <c r="B22" i="2"/>
  <c r="A22" i="2" s="1"/>
  <c r="B21" i="2"/>
  <c r="B20" i="2"/>
  <c r="C20" i="2" s="1"/>
  <c r="D20" i="2" s="1"/>
  <c r="B19" i="2"/>
  <c r="C19" i="2" s="1"/>
  <c r="B18" i="2"/>
  <c r="C18" i="2" s="1"/>
  <c r="B17" i="2"/>
  <c r="C17" i="2" s="1"/>
  <c r="F17" i="2" s="1"/>
  <c r="B16" i="2"/>
  <c r="A16" i="2" s="1"/>
  <c r="B15" i="2"/>
  <c r="A15" i="2" s="1"/>
  <c r="B14" i="2"/>
  <c r="B13" i="2"/>
  <c r="C13" i="2" s="1"/>
  <c r="B12" i="2"/>
  <c r="C12" i="2" s="1"/>
  <c r="B11" i="2"/>
  <c r="C11" i="2" s="1"/>
  <c r="I11" i="2" s="1"/>
  <c r="B10" i="2"/>
  <c r="C10" i="2" s="1"/>
  <c r="I10" i="2" s="1"/>
  <c r="B9" i="2"/>
  <c r="A9" i="2" s="1"/>
  <c r="B8" i="2"/>
  <c r="A8" i="2" s="1"/>
  <c r="B7" i="2"/>
  <c r="I133" i="1"/>
  <c r="H133" i="1"/>
  <c r="F133" i="1"/>
  <c r="I132" i="1"/>
  <c r="H132" i="1"/>
  <c r="F132" i="1"/>
  <c r="I131" i="1"/>
  <c r="H131" i="1"/>
  <c r="F131" i="1"/>
  <c r="I130" i="1"/>
  <c r="H130" i="1"/>
  <c r="F130" i="1"/>
  <c r="I129" i="1"/>
  <c r="H129" i="1"/>
  <c r="F129" i="1"/>
  <c r="I128" i="1"/>
  <c r="H128" i="1"/>
  <c r="F128" i="1"/>
  <c r="I127" i="1"/>
  <c r="H127" i="1"/>
  <c r="F127" i="1"/>
  <c r="I126" i="1"/>
  <c r="H126" i="1"/>
  <c r="F126" i="1"/>
  <c r="I125" i="1"/>
  <c r="H125" i="1"/>
  <c r="F125" i="1"/>
  <c r="I124" i="1"/>
  <c r="H124" i="1"/>
  <c r="F124" i="1"/>
  <c r="I123" i="1"/>
  <c r="H123" i="1"/>
  <c r="F123" i="1"/>
  <c r="I122" i="1"/>
  <c r="H122" i="1"/>
  <c r="F122" i="1"/>
  <c r="I121" i="1"/>
  <c r="H121" i="1"/>
  <c r="F121" i="1"/>
  <c r="I120" i="1"/>
  <c r="H120" i="1"/>
  <c r="F120" i="1"/>
  <c r="I119" i="1"/>
  <c r="H119" i="1"/>
  <c r="F119" i="1"/>
  <c r="I118" i="1"/>
  <c r="H118" i="1"/>
  <c r="F118" i="1"/>
  <c r="I117" i="1"/>
  <c r="H117" i="1"/>
  <c r="F117" i="1"/>
  <c r="I116" i="1"/>
  <c r="H116" i="1"/>
  <c r="F116" i="1"/>
  <c r="I115" i="1"/>
  <c r="H115" i="1"/>
  <c r="F115" i="1"/>
  <c r="I114" i="1"/>
  <c r="H114" i="1"/>
  <c r="F114" i="1"/>
  <c r="I113" i="1"/>
  <c r="H113" i="1"/>
  <c r="F113" i="1"/>
  <c r="I112" i="1"/>
  <c r="H112" i="1"/>
  <c r="F112" i="1"/>
  <c r="I111" i="1"/>
  <c r="H111" i="1"/>
  <c r="F111" i="1"/>
  <c r="I110" i="1"/>
  <c r="H110" i="1"/>
  <c r="F110" i="1"/>
  <c r="I109" i="1"/>
  <c r="H109" i="1"/>
  <c r="F109" i="1"/>
  <c r="I108" i="1"/>
  <c r="H108" i="1"/>
  <c r="F108" i="1"/>
  <c r="I107" i="1"/>
  <c r="H107" i="1"/>
  <c r="F107" i="1"/>
  <c r="I106" i="1"/>
  <c r="H106" i="1"/>
  <c r="F106" i="1"/>
  <c r="I105" i="1"/>
  <c r="H105" i="1"/>
  <c r="F105" i="1"/>
  <c r="I104" i="1"/>
  <c r="H104" i="1"/>
  <c r="F104" i="1"/>
  <c r="I103" i="1"/>
  <c r="H103" i="1"/>
  <c r="F103" i="1"/>
  <c r="I102" i="1"/>
  <c r="H102" i="1"/>
  <c r="F102" i="1"/>
  <c r="I101" i="1"/>
  <c r="H101" i="1"/>
  <c r="F101" i="1"/>
  <c r="I100" i="1"/>
  <c r="H100" i="1"/>
  <c r="F100" i="1"/>
  <c r="I99" i="1"/>
  <c r="H99" i="1"/>
  <c r="F99" i="1"/>
  <c r="I98" i="1"/>
  <c r="H98" i="1"/>
  <c r="F98" i="1"/>
  <c r="I97" i="1"/>
  <c r="H97" i="1"/>
  <c r="F97" i="1"/>
  <c r="I96" i="1"/>
  <c r="H96" i="1"/>
  <c r="F96" i="1"/>
  <c r="I95" i="1"/>
  <c r="H95" i="1"/>
  <c r="F95" i="1"/>
  <c r="I94" i="1"/>
  <c r="H94" i="1"/>
  <c r="F94" i="1"/>
  <c r="I93" i="1"/>
  <c r="H93" i="1"/>
  <c r="F93" i="1"/>
  <c r="I92" i="1"/>
  <c r="H92" i="1"/>
  <c r="F92" i="1"/>
  <c r="I91" i="1"/>
  <c r="H91" i="1"/>
  <c r="F91" i="1"/>
  <c r="I90" i="1"/>
  <c r="H90" i="1"/>
  <c r="F90" i="1"/>
  <c r="I89" i="1"/>
  <c r="H89" i="1"/>
  <c r="F89" i="1"/>
  <c r="I88" i="1"/>
  <c r="H88" i="1"/>
  <c r="F88" i="1"/>
  <c r="I87" i="1"/>
  <c r="H87" i="1"/>
  <c r="F87" i="1"/>
  <c r="I86" i="1"/>
  <c r="H86" i="1"/>
  <c r="F86" i="1"/>
  <c r="I85" i="1"/>
  <c r="H85" i="1"/>
  <c r="F85" i="1"/>
  <c r="I84" i="1"/>
  <c r="H84" i="1"/>
  <c r="F84" i="1"/>
  <c r="I83" i="1"/>
  <c r="H83" i="1"/>
  <c r="F83" i="1"/>
  <c r="I82" i="1"/>
  <c r="H82" i="1"/>
  <c r="F82" i="1"/>
  <c r="I81" i="1"/>
  <c r="H81" i="1"/>
  <c r="F81" i="1"/>
  <c r="I80" i="1"/>
  <c r="H80" i="1"/>
  <c r="F80" i="1"/>
  <c r="I79" i="1"/>
  <c r="H79" i="1"/>
  <c r="F79" i="1"/>
  <c r="I78" i="1"/>
  <c r="H78" i="1"/>
  <c r="F78" i="1"/>
  <c r="I77" i="1"/>
  <c r="H77" i="1"/>
  <c r="F77" i="1"/>
  <c r="I76" i="1"/>
  <c r="H76" i="1"/>
  <c r="F76" i="1"/>
  <c r="I75" i="1"/>
  <c r="H75" i="1"/>
  <c r="F75" i="1"/>
  <c r="I74" i="1"/>
  <c r="H74" i="1"/>
  <c r="F74" i="1"/>
  <c r="F73" i="1"/>
  <c r="H73" i="1" s="1"/>
  <c r="I73" i="1" s="1"/>
  <c r="F72" i="1"/>
  <c r="H72" i="1" s="1"/>
  <c r="I72" i="1" s="1"/>
  <c r="I71" i="1"/>
  <c r="H71" i="1"/>
  <c r="F71" i="1"/>
  <c r="I70" i="1"/>
  <c r="H70" i="1"/>
  <c r="F70" i="1"/>
  <c r="I69" i="1"/>
  <c r="H69" i="1"/>
  <c r="F69" i="1"/>
  <c r="F68" i="1"/>
  <c r="H68" i="1" s="1"/>
  <c r="I68" i="1" s="1"/>
  <c r="I67" i="1"/>
  <c r="H67" i="1"/>
  <c r="F67" i="1"/>
  <c r="I66" i="1"/>
  <c r="H66" i="1"/>
  <c r="F66" i="1"/>
  <c r="F65" i="1"/>
  <c r="H65" i="1" s="1"/>
  <c r="I65" i="1" s="1"/>
  <c r="I64" i="1"/>
  <c r="H64" i="1"/>
  <c r="F64" i="1"/>
  <c r="F63" i="1"/>
  <c r="H63" i="1" s="1"/>
  <c r="I63" i="1" s="1"/>
  <c r="F62" i="1"/>
  <c r="H62" i="1" s="1"/>
  <c r="I62" i="1" s="1"/>
  <c r="F61" i="1"/>
  <c r="H61" i="1" s="1"/>
  <c r="I61" i="1" s="1"/>
  <c r="F60" i="1"/>
  <c r="H60" i="1" s="1"/>
  <c r="I60" i="1" s="1"/>
  <c r="I59" i="1"/>
  <c r="H59" i="1"/>
  <c r="F59" i="1"/>
  <c r="I58" i="1"/>
  <c r="H58" i="1"/>
  <c r="F58" i="1"/>
  <c r="F57" i="1"/>
  <c r="H57" i="1" s="1"/>
  <c r="I57" i="1" s="1"/>
  <c r="F56" i="1"/>
  <c r="H56" i="1" s="1"/>
  <c r="I56" i="1" s="1"/>
  <c r="F55" i="1"/>
  <c r="H55" i="1" s="1"/>
  <c r="I55" i="1" s="1"/>
  <c r="F54" i="1"/>
  <c r="H54" i="1" s="1"/>
  <c r="I54" i="1" s="1"/>
  <c r="I53" i="1"/>
  <c r="H53" i="1"/>
  <c r="F53" i="1"/>
  <c r="F52" i="1"/>
  <c r="H52" i="1" s="1"/>
  <c r="I52" i="1" s="1"/>
  <c r="F51" i="1"/>
  <c r="H51" i="1" s="1"/>
  <c r="I51" i="1" s="1"/>
  <c r="F50" i="1"/>
  <c r="H50" i="1" s="1"/>
  <c r="I50" i="1" s="1"/>
  <c r="F49" i="1"/>
  <c r="H49" i="1" s="1"/>
  <c r="I49" i="1" s="1"/>
  <c r="F48" i="1"/>
  <c r="H48" i="1" s="1"/>
  <c r="I48" i="1" s="1"/>
  <c r="I47" i="1"/>
  <c r="H47" i="1"/>
  <c r="F47" i="1"/>
  <c r="I46" i="1"/>
  <c r="H46" i="1"/>
  <c r="F46" i="1"/>
  <c r="I45" i="1"/>
  <c r="H45" i="1"/>
  <c r="F45" i="1"/>
  <c r="I44" i="1"/>
  <c r="H44" i="1"/>
  <c r="F44" i="1"/>
  <c r="F43" i="1"/>
  <c r="H43" i="1" s="1"/>
  <c r="I43" i="1" s="1"/>
  <c r="I42" i="1"/>
  <c r="H42" i="1"/>
  <c r="F42" i="1"/>
  <c r="I41" i="1"/>
  <c r="H41" i="1"/>
  <c r="F41" i="1"/>
  <c r="F40" i="1"/>
  <c r="H40" i="1" s="1"/>
  <c r="I40" i="1" s="1"/>
  <c r="I39" i="1"/>
  <c r="H39" i="1"/>
  <c r="F39" i="1"/>
  <c r="I38" i="1"/>
  <c r="H38" i="1"/>
  <c r="F38" i="1"/>
  <c r="F37" i="1"/>
  <c r="H37" i="1" s="1"/>
  <c r="I37" i="1" s="1"/>
  <c r="F36" i="1"/>
  <c r="H36" i="1" s="1"/>
  <c r="I36" i="1" s="1"/>
  <c r="I35" i="1"/>
  <c r="H35" i="1"/>
  <c r="F35" i="1"/>
  <c r="F34" i="1"/>
  <c r="H34" i="1" s="1"/>
  <c r="I34" i="1" s="1"/>
  <c r="F33" i="1"/>
  <c r="H33" i="1" s="1"/>
  <c r="I33" i="1" s="1"/>
  <c r="I32" i="1"/>
  <c r="H32" i="1"/>
  <c r="F32" i="1"/>
  <c r="F31" i="1"/>
  <c r="H31" i="1" s="1"/>
  <c r="I31" i="1" s="1"/>
  <c r="F30" i="1"/>
  <c r="H30" i="1" s="1"/>
  <c r="I30" i="1" s="1"/>
  <c r="F29" i="1"/>
  <c r="H29" i="1" s="1"/>
  <c r="I29" i="1" s="1"/>
  <c r="F28" i="1"/>
  <c r="H28" i="1" s="1"/>
  <c r="I28" i="1" s="1"/>
  <c r="F27" i="1"/>
  <c r="H27" i="1" s="1"/>
  <c r="I27" i="1" s="1"/>
  <c r="F26" i="1"/>
  <c r="H26" i="1" s="1"/>
  <c r="I26" i="1" s="1"/>
  <c r="F25" i="1"/>
  <c r="H25" i="1" s="1"/>
  <c r="I25" i="1" s="1"/>
  <c r="I24" i="1"/>
  <c r="H24" i="1"/>
  <c r="F24" i="1"/>
  <c r="I23" i="1"/>
  <c r="H23" i="1"/>
  <c r="F23" i="1"/>
  <c r="F22" i="1"/>
  <c r="H22" i="1" s="1"/>
  <c r="I22" i="1" s="1"/>
  <c r="I21" i="1"/>
  <c r="H21" i="1"/>
  <c r="F21" i="1"/>
  <c r="F20" i="1"/>
  <c r="H20" i="1" s="1"/>
  <c r="I20" i="1" s="1"/>
  <c r="F19" i="1"/>
  <c r="H19" i="1" s="1"/>
  <c r="I19" i="1" s="1"/>
  <c r="F18" i="1"/>
  <c r="H18" i="1" s="1"/>
  <c r="I18" i="1" s="1"/>
  <c r="F17" i="1"/>
  <c r="H17" i="1" s="1"/>
  <c r="I17" i="1" s="1"/>
  <c r="F16" i="1"/>
  <c r="H16" i="1" s="1"/>
  <c r="I16" i="1" s="1"/>
  <c r="F15" i="1"/>
  <c r="H15" i="1" s="1"/>
  <c r="I15" i="1" s="1"/>
  <c r="I14" i="1"/>
  <c r="H14" i="1"/>
  <c r="F14" i="1"/>
  <c r="F13" i="1"/>
  <c r="H13" i="1" s="1"/>
  <c r="I13" i="1" s="1"/>
  <c r="F12" i="1"/>
  <c r="H12" i="1" s="1"/>
  <c r="I12" i="1" s="1"/>
  <c r="I11" i="1"/>
  <c r="H11" i="1"/>
  <c r="F11" i="1"/>
  <c r="F10" i="1"/>
  <c r="H10" i="1" s="1"/>
  <c r="I10" i="1" s="1"/>
  <c r="F9" i="1"/>
  <c r="H9" i="1" s="1"/>
  <c r="I9" i="1" s="1"/>
  <c r="I8" i="1"/>
  <c r="H8" i="1"/>
  <c r="F8" i="1"/>
  <c r="F7" i="1"/>
  <c r="H7" i="1" s="1"/>
  <c r="I7" i="1" s="1"/>
  <c r="I4" i="1"/>
  <c r="G4" i="1"/>
  <c r="B4" i="3" l="1"/>
  <c r="C40" i="2"/>
  <c r="I40" i="2" s="1"/>
  <c r="C54" i="2"/>
  <c r="I54" i="2" s="1"/>
  <c r="C13" i="5"/>
  <c r="I13" i="5" s="1"/>
  <c r="E7" i="5"/>
  <c r="I7" i="5"/>
  <c r="A26" i="2"/>
  <c r="I46" i="2"/>
  <c r="E59" i="2"/>
  <c r="F59" i="2"/>
  <c r="C16" i="5"/>
  <c r="I16" i="5" s="1"/>
  <c r="D10" i="2"/>
  <c r="E24" i="2"/>
  <c r="F31" i="2"/>
  <c r="G31" i="2" s="1"/>
  <c r="F38" i="2"/>
  <c r="E45" i="2"/>
  <c r="H10" i="5"/>
  <c r="D45" i="2"/>
  <c r="F24" i="2"/>
  <c r="I31" i="2"/>
  <c r="F45" i="2"/>
  <c r="I10" i="5"/>
  <c r="I18" i="2"/>
  <c r="I24" i="2"/>
  <c r="I45" i="2"/>
  <c r="H7" i="5"/>
  <c r="D24" i="2"/>
  <c r="E38" i="2"/>
  <c r="A19" i="2"/>
  <c r="A33" i="2"/>
  <c r="C14" i="5"/>
  <c r="I14" i="5" s="1"/>
  <c r="A12" i="2"/>
  <c r="A47" i="2"/>
  <c r="F10" i="5"/>
  <c r="G10" i="5" s="1"/>
  <c r="C17" i="5"/>
  <c r="I17" i="5" s="1"/>
  <c r="C9" i="5"/>
  <c r="D9" i="5" s="1"/>
  <c r="C4" i="1"/>
  <c r="B3" i="3"/>
  <c r="D17" i="2"/>
  <c r="D13" i="2"/>
  <c r="E17" i="2"/>
  <c r="G17" i="2" s="1"/>
  <c r="C51" i="2"/>
  <c r="I51" i="2" s="1"/>
  <c r="F39" i="2"/>
  <c r="E39" i="2"/>
  <c r="D39" i="2"/>
  <c r="F32" i="2"/>
  <c r="E32" i="2"/>
  <c r="D32" i="2"/>
  <c r="I39" i="2"/>
  <c r="J39" i="2" s="1"/>
  <c r="E10" i="2"/>
  <c r="I17" i="2"/>
  <c r="H25" i="2"/>
  <c r="J25" i="2" s="1"/>
  <c r="F10" i="2"/>
  <c r="F18" i="2"/>
  <c r="E18" i="2"/>
  <c r="D18" i="2"/>
  <c r="E52" i="2"/>
  <c r="F25" i="2"/>
  <c r="E25" i="2"/>
  <c r="D25" i="2"/>
  <c r="C44" i="2"/>
  <c r="D44" i="2" s="1"/>
  <c r="A48" i="2"/>
  <c r="H48" i="2"/>
  <c r="I48" i="2"/>
  <c r="F48" i="2"/>
  <c r="E48" i="2"/>
  <c r="D52" i="2"/>
  <c r="H18" i="2"/>
  <c r="C37" i="2"/>
  <c r="E37" i="2" s="1"/>
  <c r="A41" i="2"/>
  <c r="I41" i="2"/>
  <c r="H41" i="2"/>
  <c r="F41" i="2"/>
  <c r="E41" i="2"/>
  <c r="D48" i="2"/>
  <c r="F52" i="2"/>
  <c r="I12" i="2"/>
  <c r="H12" i="2"/>
  <c r="D12" i="2"/>
  <c r="F12" i="2"/>
  <c r="E12" i="2"/>
  <c r="A13" i="2"/>
  <c r="H13" i="2"/>
  <c r="I13" i="2"/>
  <c r="F13" i="2"/>
  <c r="E13" i="2"/>
  <c r="I33" i="2"/>
  <c r="H33" i="2"/>
  <c r="F33" i="2"/>
  <c r="E33" i="2"/>
  <c r="D33" i="2"/>
  <c r="F53" i="2"/>
  <c r="E53" i="2"/>
  <c r="D53" i="2"/>
  <c r="H11" i="2"/>
  <c r="J11" i="2" s="1"/>
  <c r="C30" i="2"/>
  <c r="E30" i="2" s="1"/>
  <c r="A34" i="2"/>
  <c r="H53" i="2"/>
  <c r="A55" i="2"/>
  <c r="I32" i="2"/>
  <c r="J32" i="2" s="1"/>
  <c r="B5" i="3"/>
  <c r="I26" i="2"/>
  <c r="H26" i="2"/>
  <c r="F26" i="2"/>
  <c r="D26" i="2"/>
  <c r="E26" i="2"/>
  <c r="C34" i="2"/>
  <c r="D34" i="2" s="1"/>
  <c r="D38" i="2"/>
  <c r="I53" i="2"/>
  <c r="I12" i="5"/>
  <c r="H12" i="5"/>
  <c r="F12" i="5"/>
  <c r="E12" i="5"/>
  <c r="D12" i="5"/>
  <c r="F11" i="2"/>
  <c r="E11" i="2"/>
  <c r="D11" i="2"/>
  <c r="C23" i="2"/>
  <c r="E23" i="2" s="1"/>
  <c r="A27" i="2"/>
  <c r="C58" i="2"/>
  <c r="I58" i="2" s="1"/>
  <c r="I19" i="2"/>
  <c r="H19" i="2"/>
  <c r="F19" i="2"/>
  <c r="D19" i="2"/>
  <c r="E19" i="2"/>
  <c r="C27" i="2"/>
  <c r="F27" i="2" s="1"/>
  <c r="D31" i="2"/>
  <c r="F46" i="2"/>
  <c r="E46" i="2"/>
  <c r="D46" i="2"/>
  <c r="C9" i="2"/>
  <c r="D9" i="2" s="1"/>
  <c r="C55" i="2"/>
  <c r="D55" i="2" s="1"/>
  <c r="I47" i="2"/>
  <c r="H47" i="2"/>
  <c r="F47" i="2"/>
  <c r="D47" i="2"/>
  <c r="E47" i="2"/>
  <c r="C16" i="2"/>
  <c r="E16" i="2" s="1"/>
  <c r="A20" i="2"/>
  <c r="I20" i="2"/>
  <c r="H20" i="2"/>
  <c r="F20" i="2"/>
  <c r="E20" i="2"/>
  <c r="H46" i="2"/>
  <c r="D59" i="2"/>
  <c r="H10" i="2"/>
  <c r="J10" i="2" s="1"/>
  <c r="H17" i="2"/>
  <c r="H24" i="2"/>
  <c r="H31" i="2"/>
  <c r="H38" i="2"/>
  <c r="J38" i="2" s="1"/>
  <c r="H45" i="2"/>
  <c r="H52" i="2"/>
  <c r="J52" i="2" s="1"/>
  <c r="H59" i="2"/>
  <c r="J59" i="2" s="1"/>
  <c r="C8" i="5"/>
  <c r="F8" i="5" s="1"/>
  <c r="C15" i="5"/>
  <c r="H15" i="5" s="1"/>
  <c r="A57" i="2"/>
  <c r="C18" i="5"/>
  <c r="I18" i="5" s="1"/>
  <c r="C8" i="2"/>
  <c r="E8" i="2" s="1"/>
  <c r="A11" i="2"/>
  <c r="C15" i="2"/>
  <c r="I15" i="2" s="1"/>
  <c r="A18" i="2"/>
  <c r="C22" i="2"/>
  <c r="D22" i="2" s="1"/>
  <c r="A25" i="2"/>
  <c r="C29" i="2"/>
  <c r="I29" i="2" s="1"/>
  <c r="A32" i="2"/>
  <c r="C36" i="2"/>
  <c r="H36" i="2" s="1"/>
  <c r="A39" i="2"/>
  <c r="C43" i="2"/>
  <c r="H43" i="2" s="1"/>
  <c r="A46" i="2"/>
  <c r="C50" i="2"/>
  <c r="I50" i="2" s="1"/>
  <c r="A53" i="2"/>
  <c r="C57" i="2"/>
  <c r="E57" i="2" s="1"/>
  <c r="C11" i="5"/>
  <c r="H11" i="5" s="1"/>
  <c r="A7" i="2"/>
  <c r="A14" i="2"/>
  <c r="A21" i="2"/>
  <c r="A28" i="2"/>
  <c r="A35" i="2"/>
  <c r="A42" i="2"/>
  <c r="A49" i="2"/>
  <c r="A56" i="2"/>
  <c r="D7" i="5"/>
  <c r="C7" i="2"/>
  <c r="E7" i="2" s="1"/>
  <c r="A10" i="2"/>
  <c r="C14" i="2"/>
  <c r="E14" i="2" s="1"/>
  <c r="A17" i="2"/>
  <c r="C21" i="2"/>
  <c r="A24" i="2"/>
  <c r="C28" i="2"/>
  <c r="E28" i="2" s="1"/>
  <c r="A31" i="2"/>
  <c r="C35" i="2"/>
  <c r="A38" i="2"/>
  <c r="C42" i="2"/>
  <c r="A45" i="2"/>
  <c r="C49" i="2"/>
  <c r="E49" i="2" s="1"/>
  <c r="A52" i="2"/>
  <c r="C56" i="2"/>
  <c r="E56" i="2" s="1"/>
  <c r="A59" i="2"/>
  <c r="F7" i="5"/>
  <c r="D10" i="5"/>
  <c r="F54" i="2" l="1"/>
  <c r="D54" i="2"/>
  <c r="H54" i="2"/>
  <c r="J54" i="2" s="1"/>
  <c r="E54" i="2"/>
  <c r="E40" i="2"/>
  <c r="F40" i="2"/>
  <c r="D40" i="2"/>
  <c r="J46" i="2"/>
  <c r="H13" i="5"/>
  <c r="J13" i="5" s="1"/>
  <c r="E13" i="5"/>
  <c r="J7" i="5"/>
  <c r="F13" i="5"/>
  <c r="G59" i="2"/>
  <c r="I23" i="2"/>
  <c r="F34" i="2"/>
  <c r="D13" i="5"/>
  <c r="J24" i="2"/>
  <c r="I8" i="5"/>
  <c r="H40" i="2"/>
  <c r="J40" i="2" s="1"/>
  <c r="D29" i="2"/>
  <c r="F29" i="2"/>
  <c r="D57" i="2"/>
  <c r="J45" i="2"/>
  <c r="E34" i="2"/>
  <c r="G48" i="2"/>
  <c r="E29" i="2"/>
  <c r="H34" i="2"/>
  <c r="G24" i="2"/>
  <c r="H22" i="2"/>
  <c r="D27" i="2"/>
  <c r="I11" i="5"/>
  <c r="J11" i="5" s="1"/>
  <c r="H37" i="2"/>
  <c r="H29" i="2"/>
  <c r="J29" i="2" s="1"/>
  <c r="I37" i="2"/>
  <c r="G38" i="2"/>
  <c r="E11" i="5"/>
  <c r="I8" i="2"/>
  <c r="J33" i="2"/>
  <c r="G41" i="2"/>
  <c r="H14" i="5"/>
  <c r="J14" i="5" s="1"/>
  <c r="D58" i="2"/>
  <c r="H44" i="2"/>
  <c r="D14" i="5"/>
  <c r="E58" i="2"/>
  <c r="E17" i="5"/>
  <c r="H8" i="5"/>
  <c r="J20" i="2"/>
  <c r="I44" i="2"/>
  <c r="F9" i="5"/>
  <c r="H9" i="5"/>
  <c r="E18" i="5"/>
  <c r="F17" i="5"/>
  <c r="J10" i="5"/>
  <c r="E14" i="5"/>
  <c r="H18" i="5"/>
  <c r="J18" i="5" s="1"/>
  <c r="D11" i="5"/>
  <c r="G11" i="2"/>
  <c r="D16" i="5"/>
  <c r="E16" i="5"/>
  <c r="F16" i="5"/>
  <c r="H8" i="2"/>
  <c r="F14" i="5"/>
  <c r="E9" i="5"/>
  <c r="H16" i="5"/>
  <c r="J16" i="5" s="1"/>
  <c r="J17" i="2"/>
  <c r="D50" i="2"/>
  <c r="G20" i="2"/>
  <c r="I36" i="2"/>
  <c r="J36" i="2" s="1"/>
  <c r="I34" i="2"/>
  <c r="I15" i="5"/>
  <c r="J15" i="5" s="1"/>
  <c r="E43" i="2"/>
  <c r="E36" i="2"/>
  <c r="F58" i="2"/>
  <c r="H30" i="2"/>
  <c r="F44" i="2"/>
  <c r="G18" i="2"/>
  <c r="F50" i="2"/>
  <c r="D18" i="5"/>
  <c r="E27" i="2"/>
  <c r="G27" i="2" s="1"/>
  <c r="J12" i="5"/>
  <c r="E55" i="2"/>
  <c r="I30" i="2"/>
  <c r="F43" i="2"/>
  <c r="F15" i="5"/>
  <c r="H27" i="2"/>
  <c r="F55" i="2"/>
  <c r="G45" i="2"/>
  <c r="E50" i="2"/>
  <c r="H50" i="2"/>
  <c r="J50" i="2" s="1"/>
  <c r="J31" i="2"/>
  <c r="I27" i="2"/>
  <c r="I55" i="2"/>
  <c r="J18" i="2"/>
  <c r="F18" i="5"/>
  <c r="H55" i="2"/>
  <c r="G25" i="2"/>
  <c r="I9" i="5"/>
  <c r="D17" i="5"/>
  <c r="H17" i="5"/>
  <c r="J17" i="5" s="1"/>
  <c r="F11" i="5"/>
  <c r="J47" i="2"/>
  <c r="H23" i="2"/>
  <c r="E51" i="2"/>
  <c r="H15" i="2"/>
  <c r="J15" i="2" s="1"/>
  <c r="D35" i="2"/>
  <c r="I35" i="2"/>
  <c r="H35" i="2"/>
  <c r="F35" i="2"/>
  <c r="F36" i="2"/>
  <c r="F9" i="2"/>
  <c r="J19" i="2"/>
  <c r="G12" i="5"/>
  <c r="J26" i="2"/>
  <c r="G33" i="2"/>
  <c r="J12" i="2"/>
  <c r="G39" i="2"/>
  <c r="I43" i="2"/>
  <c r="J43" i="2" s="1"/>
  <c r="D42" i="2"/>
  <c r="I42" i="2"/>
  <c r="F42" i="2"/>
  <c r="H42" i="2"/>
  <c r="H9" i="2"/>
  <c r="F16" i="2"/>
  <c r="G16" i="2" s="1"/>
  <c r="D21" i="2"/>
  <c r="I21" i="2"/>
  <c r="F21" i="2"/>
  <c r="H21" i="2"/>
  <c r="F8" i="2"/>
  <c r="G8" i="2" s="1"/>
  <c r="D43" i="2"/>
  <c r="H16" i="2"/>
  <c r="I22" i="2"/>
  <c r="D36" i="2"/>
  <c r="I16" i="2"/>
  <c r="D23" i="2"/>
  <c r="D30" i="2"/>
  <c r="I57" i="2"/>
  <c r="G52" i="2"/>
  <c r="G10" i="2"/>
  <c r="E9" i="2"/>
  <c r="I9" i="2"/>
  <c r="F15" i="2"/>
  <c r="D14" i="2"/>
  <c r="I14" i="2"/>
  <c r="H14" i="2"/>
  <c r="F14" i="2"/>
  <c r="G14" i="2" s="1"/>
  <c r="G47" i="2"/>
  <c r="G46" i="2"/>
  <c r="F23" i="2"/>
  <c r="G23" i="2" s="1"/>
  <c r="G7" i="5"/>
  <c r="F30" i="2"/>
  <c r="G30" i="2" s="1"/>
  <c r="G13" i="2"/>
  <c r="J41" i="2"/>
  <c r="D51" i="2"/>
  <c r="E15" i="5"/>
  <c r="D15" i="5"/>
  <c r="H57" i="2"/>
  <c r="D56" i="2"/>
  <c r="I56" i="2"/>
  <c r="H56" i="2"/>
  <c r="F56" i="2"/>
  <c r="G56" i="2" s="1"/>
  <c r="D7" i="2"/>
  <c r="I7" i="2"/>
  <c r="H7" i="2"/>
  <c r="F7" i="2"/>
  <c r="G7" i="2" s="1"/>
  <c r="D15" i="2"/>
  <c r="E35" i="2"/>
  <c r="J48" i="2"/>
  <c r="F51" i="2"/>
  <c r="D16" i="2"/>
  <c r="E15" i="2"/>
  <c r="D8" i="2"/>
  <c r="J13" i="2"/>
  <c r="H51" i="2"/>
  <c r="J51" i="2" s="1"/>
  <c r="E42" i="2"/>
  <c r="D28" i="2"/>
  <c r="I28" i="2"/>
  <c r="H28" i="2"/>
  <c r="F28" i="2"/>
  <c r="G28" i="2" s="1"/>
  <c r="F22" i="2"/>
  <c r="D49" i="2"/>
  <c r="I49" i="2"/>
  <c r="H49" i="2"/>
  <c r="F49" i="2"/>
  <c r="G49" i="2" s="1"/>
  <c r="F57" i="2"/>
  <c r="G57" i="2" s="1"/>
  <c r="H58" i="2"/>
  <c r="J58" i="2" s="1"/>
  <c r="D37" i="2"/>
  <c r="E44" i="2"/>
  <c r="E22" i="2"/>
  <c r="E8" i="5"/>
  <c r="D8" i="5"/>
  <c r="G19" i="2"/>
  <c r="G26" i="2"/>
  <c r="J53" i="2"/>
  <c r="G53" i="2"/>
  <c r="G12" i="2"/>
  <c r="F37" i="2"/>
  <c r="G37" i="2" s="1"/>
  <c r="G32" i="2"/>
  <c r="E21" i="2"/>
  <c r="G54" i="2" l="1"/>
  <c r="G40" i="2"/>
  <c r="G9" i="5"/>
  <c r="G13" i="5"/>
  <c r="G34" i="2"/>
  <c r="G51" i="2"/>
  <c r="J8" i="5"/>
  <c r="J23" i="2"/>
  <c r="G50" i="2"/>
  <c r="G11" i="5"/>
  <c r="J9" i="5"/>
  <c r="G29" i="2"/>
  <c r="G17" i="5"/>
  <c r="G21" i="2"/>
  <c r="J37" i="2"/>
  <c r="G43" i="2"/>
  <c r="G18" i="5"/>
  <c r="O4" i="5"/>
  <c r="J55" i="2"/>
  <c r="G14" i="5"/>
  <c r="M5" i="5"/>
  <c r="J30" i="2"/>
  <c r="J8" i="2"/>
  <c r="J27" i="2"/>
  <c r="G58" i="2"/>
  <c r="J34" i="2"/>
  <c r="J44" i="2"/>
  <c r="J22" i="2"/>
  <c r="G16" i="5"/>
  <c r="J16" i="2"/>
  <c r="G55" i="2"/>
  <c r="G9" i="2"/>
  <c r="J56" i="2"/>
  <c r="O5" i="2"/>
  <c r="G15" i="2"/>
  <c r="J21" i="2"/>
  <c r="O5" i="5"/>
  <c r="M3" i="5"/>
  <c r="J28" i="2"/>
  <c r="G44" i="2"/>
  <c r="G42" i="2"/>
  <c r="G36" i="2"/>
  <c r="G15" i="5"/>
  <c r="J42" i="2"/>
  <c r="M3" i="2"/>
  <c r="J35" i="2"/>
  <c r="G22" i="2"/>
  <c r="G8" i="5"/>
  <c r="M4" i="5"/>
  <c r="J57" i="2"/>
  <c r="G35" i="2"/>
  <c r="J14" i="2"/>
  <c r="J9" i="2"/>
  <c r="M5" i="2"/>
  <c r="M4" i="2"/>
  <c r="J49" i="2"/>
  <c r="J7" i="2"/>
  <c r="O4" i="2"/>
  <c r="O6" i="5" l="1"/>
  <c r="O6" i="2"/>
  <c r="M6" i="2"/>
  <c r="M6" i="5"/>
</calcChain>
</file>

<file path=xl/sharedStrings.xml><?xml version="1.0" encoding="utf-8"?>
<sst xmlns="http://schemas.openxmlformats.org/spreadsheetml/2006/main" count="154" uniqueCount="64">
  <si>
    <t>♠  TIPPMIX BANKROLL MANAGER  ♠</t>
  </si>
  <si>
    <t>Fogadásnapló • bankroll • profit • heti / havi statisztika</t>
  </si>
  <si>
    <t>ÖSSZES PROFIT</t>
  </si>
  <si>
    <t>NYERÉSI %</t>
  </si>
  <si>
    <t>FOGADÁSOK</t>
  </si>
  <si>
    <t>Dátum</t>
  </si>
  <si>
    <t>Tét</t>
  </si>
  <si>
    <t>Odds</t>
  </si>
  <si>
    <t>Lehetséges
nyeremény</t>
  </si>
  <si>
    <t>Eredmény</t>
  </si>
  <si>
    <t>Nyeremény</t>
  </si>
  <si>
    <t>Profit</t>
  </si>
  <si>
    <t>Nyert</t>
  </si>
  <si>
    <t>Veszített</t>
  </si>
  <si>
    <t>♠  TIPPMIX – HETI ELEMZÉS</t>
  </si>
  <si>
    <t>KIVÁLASZTOTT ÉV ÖSSZESÍTÉSE</t>
  </si>
  <si>
    <t>Elemzett év:</t>
  </si>
  <si>
    <t>Évet átírva a heti sorok automatikusan frissülnek.</t>
  </si>
  <si>
    <t>Fogadások</t>
  </si>
  <si>
    <t>Éves profit</t>
  </si>
  <si>
    <t>Összes tét</t>
  </si>
  <si>
    <t>Hét</t>
  </si>
  <si>
    <t>Hét kezdete</t>
  </si>
  <si>
    <t>Hét vége</t>
  </si>
  <si>
    <t>Nyerési %</t>
  </si>
  <si>
    <t>Heti profit (Ft)</t>
  </si>
  <si>
    <t>Összes tét (Ft)</t>
  </si>
  <si>
    <t>ROI</t>
  </si>
  <si>
    <t>♦  BANKROLL STATISZTIKA</t>
  </si>
  <si>
    <t>Összes profit</t>
  </si>
  <si>
    <t>Heti profit</t>
  </si>
  <si>
    <t>Havi profit</t>
  </si>
  <si>
    <t>Eddigi nyerési %</t>
  </si>
  <si>
    <t>Heti nyerési %</t>
  </si>
  <si>
    <t>Havi nyerési %</t>
  </si>
  <si>
    <t>♣  TIPPMIX KEZELŐ – HASZNÁLAT</t>
  </si>
  <si>
    <t>1.</t>
  </si>
  <si>
    <t>Írd be a fogadás dátumát.</t>
  </si>
  <si>
    <t>2.</t>
  </si>
  <si>
    <t>Meccs / esemény</t>
  </si>
  <si>
    <t>Pl. Arsenal – Chelsea.</t>
  </si>
  <si>
    <t>3.</t>
  </si>
  <si>
    <t>Tipp</t>
  </si>
  <si>
    <t>Pl. 1X, Over 2.5, Mindkét csapat szerez gólt.</t>
  </si>
  <si>
    <t>4.</t>
  </si>
  <si>
    <t>Add meg a szelvény oddsát.</t>
  </si>
  <si>
    <t>5.</t>
  </si>
  <si>
    <t>Add meg a feltett összeget forintban.</t>
  </si>
  <si>
    <t>6.</t>
  </si>
  <si>
    <t>A legördülőből válaszd: Nyert vagy Veszített.</t>
  </si>
  <si>
    <t>7.</t>
  </si>
  <si>
    <t>Nyeremény / Profit</t>
  </si>
  <si>
    <t>Automatikusan kiszámolódik.</t>
  </si>
  <si>
    <t>8.</t>
  </si>
  <si>
    <t>Heti elemzés</t>
  </si>
  <si>
    <t>A Heti elemzés lapon CW01–CW53 bontásban visszamenőleg is látható a heti nyerési %, profit, tétek és ROI. A B3 cellában módosítható az év.</t>
  </si>
  <si>
    <t>Havi elemzés</t>
  </si>
  <si>
    <t>A Havi elemzés lapon januártól decemberig visszamenőleg látható a havi nyerési %, profit, összes tét és ROI. A B3 cellában módosítható az év.</t>
  </si>
  <si>
    <t>♠  TIPPMIX – HAVI ELEMZÉS</t>
  </si>
  <si>
    <t>Évet átírva a havi sorok automatikusan frissülnek.</t>
  </si>
  <si>
    <t>Hónap</t>
  </si>
  <si>
    <t>Hónap kezdete</t>
  </si>
  <si>
    <t>Hónap vége</t>
  </si>
  <si>
    <t>Havi profit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</si>
</sst>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Ft&quot;;[Red]\-#,##0\ &quot;Ft&quot;"/>
    <numFmt numFmtId="164" formatCode="#,##0\ &quot;Ft&quot;"/>
    <numFmt numFmtId="165" formatCode="0.0%"/>
    <numFmt numFmtId="166" formatCode="yyyy\-mm\-dd"/>
    <numFmt numFmtId="167" formatCode="yyyy\.mm\.dd"/>
    <numFmt numFmtId="168" formatCode="dd\.mm\.yyyy"/>
  </numFmts>
  <fonts count="26" x14ac:knownFonts="1">
    <font>
      <sz val="11"/>
      <color theme="1"/>
      <name val="Calibri"/>
      <family val="2"/>
      <scheme val="minor"/>
    </font>
    <font>
      <b/>
      <sz val="22"/>
      <color rgb="FFF5C542"/>
      <name val="Calibri"/>
      <family val="2"/>
    </font>
    <font>
      <i/>
      <sz val="11"/>
      <color rgb="FF9AA4B2"/>
      <name val="Calibri"/>
      <family val="2"/>
    </font>
    <font>
      <b/>
      <sz val="12"/>
      <color rgb="FFF4F6F8"/>
      <name val="Calibri"/>
      <family val="2"/>
    </font>
    <font>
      <b/>
      <sz val="10"/>
      <color rgb="FF9AA4B2"/>
      <name val="Calibri"/>
      <family val="2"/>
    </font>
    <font>
      <b/>
      <sz val="18"/>
      <color rgb="FFF5C542"/>
      <name val="Calibri"/>
      <family val="2"/>
    </font>
    <font>
      <b/>
      <sz val="18"/>
      <color rgb="FF19C37D"/>
      <name val="Calibri"/>
      <family val="2"/>
    </font>
    <font>
      <b/>
      <sz val="11"/>
      <color rgb="FF111318"/>
      <name val="Calibri"/>
      <family val="2"/>
    </font>
    <font>
      <sz val="11"/>
      <color rgb="FFF4F6F8"/>
      <name val="Calibri"/>
      <family val="2"/>
    </font>
    <font>
      <b/>
      <sz val="20"/>
      <color rgb="FFF5C542"/>
      <name val="Calibri"/>
      <family val="2"/>
    </font>
    <font>
      <b/>
      <sz val="11"/>
      <color rgb="FFF5C542"/>
      <name val="Calibri"/>
      <family val="2"/>
    </font>
    <font>
      <b/>
      <sz val="11"/>
      <color rgb="FFF4F6F8"/>
      <name val="Calibri"/>
      <family val="2"/>
    </font>
    <font>
      <sz val="11"/>
      <color rgb="FF9AA4B2"/>
      <name val="Calibri"/>
      <family val="2"/>
    </font>
    <font>
      <b/>
      <sz val="15"/>
      <color rgb="FFF5C542"/>
      <name val="Calibri"/>
      <family val="2"/>
    </font>
    <font>
      <b/>
      <sz val="15"/>
      <color rgb="FF19C37D"/>
      <name val="Calibri"/>
      <family val="2"/>
    </font>
    <font>
      <b/>
      <sz val="11"/>
      <color rgb="FF111318"/>
      <name val="Calibri"/>
      <family val="2"/>
    </font>
    <font>
      <sz val="11"/>
      <color rgb="FFF4F6F8"/>
      <name val="Calibri"/>
      <family val="2"/>
    </font>
    <font>
      <b/>
      <sz val="18"/>
      <color theme="0" tint="-0.34998626667073579"/>
      <name val="Calibri"/>
      <family val="2"/>
    </font>
    <font>
      <b/>
      <sz val="14"/>
      <color rgb="FF111318"/>
      <name val="Calibri"/>
      <family val="2"/>
    </font>
    <font>
      <sz val="14"/>
      <color rgb="FFF4F6F8"/>
      <name val="Calibri"/>
      <family val="2"/>
    </font>
    <font>
      <b/>
      <sz val="18"/>
      <color rgb="FF39FF14"/>
      <name val="Aptos Display"/>
      <family val="2"/>
    </font>
    <font>
      <b/>
      <sz val="11"/>
      <color rgb="FFFFFFFF"/>
      <name val="Calibri"/>
      <family val="2"/>
    </font>
    <font>
      <b/>
      <sz val="11"/>
      <color rgb="FF172033"/>
      <name val="Calibri"/>
      <family val="2"/>
    </font>
    <font>
      <i/>
      <sz val="11"/>
      <color rgb="FF666666"/>
      <name val="Calibri"/>
      <family val="2"/>
    </font>
    <font>
      <b/>
      <sz val="12"/>
      <color rgb="FF39FF14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11318"/>
      </patternFill>
    </fill>
    <fill>
      <patternFill patternType="solid">
        <fgColor rgb="FF1B1F27"/>
      </patternFill>
    </fill>
    <fill>
      <patternFill patternType="solid">
        <fgColor rgb="FFF5C542"/>
      </patternFill>
    </fill>
    <fill>
      <patternFill patternType="solid">
        <fgColor rgb="FF202631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172033"/>
      </patternFill>
    </fill>
    <fill>
      <patternFill patternType="solid">
        <fgColor rgb="FF263449"/>
      </patternFill>
    </fill>
    <fill>
      <patternFill patternType="solid">
        <fgColor rgb="FFFFF2CC"/>
      </patternFill>
    </fill>
    <fill>
      <patternFill patternType="solid">
        <fgColor rgb="FFF4F7FB"/>
      </patternFill>
    </fill>
    <fill>
      <patternFill patternType="solid">
        <fgColor rgb="FFE8F5E9"/>
      </patternFill>
    </fill>
  </fills>
  <borders count="10">
    <border>
      <left/>
      <right/>
      <top/>
      <bottom/>
      <diagonal/>
    </border>
    <border>
      <left style="thin">
        <color rgb="FF343B48"/>
      </left>
      <right style="thin">
        <color rgb="FF343B48"/>
      </right>
      <top style="thin">
        <color rgb="FF343B48"/>
      </top>
      <bottom style="thin">
        <color rgb="FF343B48"/>
      </bottom>
      <diagonal/>
    </border>
    <border>
      <left/>
      <right/>
      <top/>
      <bottom style="hair">
        <color rgb="FF343B48"/>
      </bottom>
      <diagonal/>
    </border>
    <border>
      <left/>
      <right/>
      <top style="thin">
        <color theme="4" tint="0.39997558519241921"/>
      </top>
      <bottom style="hair">
        <color rgb="FF343B48"/>
      </bottom>
      <diagonal/>
    </border>
    <border>
      <left/>
      <right/>
      <top style="thin">
        <color rgb="FF343B48"/>
      </top>
      <bottom/>
      <diagonal/>
    </border>
    <border>
      <left/>
      <right style="thin">
        <color rgb="FF343B48"/>
      </right>
      <top style="thin">
        <color rgb="FF343B48"/>
      </top>
      <bottom style="thin">
        <color rgb="FF343B48"/>
      </bottom>
      <diagonal/>
    </border>
    <border>
      <left/>
      <right/>
      <top style="thin">
        <color rgb="FF343B48"/>
      </top>
      <bottom style="thin">
        <color rgb="FF343B48"/>
      </bottom>
      <diagonal/>
    </border>
    <border>
      <left/>
      <right/>
      <top/>
      <bottom style="thin">
        <color rgb="FF343B48"/>
      </bottom>
      <diagonal/>
    </border>
    <border>
      <left/>
      <right/>
      <top/>
      <bottom style="medium">
        <color rgb="FF39FF14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7" fillId="4" borderId="1" xfId="0" applyFont="1" applyFill="1" applyBorder="1" applyAlignment="1">
      <alignment horizontal="center" vertical="center"/>
    </xf>
    <xf numFmtId="0" fontId="0" fillId="2" borderId="0" xfId="0" applyFill="1"/>
    <xf numFmtId="0" fontId="10" fillId="2" borderId="0" xfId="0" applyFont="1" applyFill="1"/>
    <xf numFmtId="0" fontId="11" fillId="2" borderId="0" xfId="0" applyFont="1" applyFill="1"/>
    <xf numFmtId="0" fontId="3" fillId="3" borderId="1" xfId="0" applyFont="1" applyFill="1" applyBorder="1"/>
    <xf numFmtId="164" fontId="13" fillId="3" borderId="1" xfId="0" applyNumberFormat="1" applyFont="1" applyFill="1" applyBorder="1"/>
    <xf numFmtId="165" fontId="14" fillId="3" borderId="1" xfId="0" applyNumberFormat="1" applyFont="1" applyFill="1" applyBorder="1"/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166" fontId="8" fillId="5" borderId="2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2" fontId="16" fillId="5" borderId="3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64" fontId="19" fillId="2" borderId="2" xfId="0" applyNumberFormat="1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0" fillId="6" borderId="0" xfId="0" applyFill="1"/>
    <xf numFmtId="165" fontId="0" fillId="0" borderId="0" xfId="0" applyNumberFormat="1"/>
    <xf numFmtId="0" fontId="21" fillId="8" borderId="0" xfId="0" applyFont="1" applyFill="1"/>
    <xf numFmtId="0" fontId="22" fillId="9" borderId="0" xfId="0" applyFont="1" applyFill="1" applyAlignment="1">
      <alignment horizontal="center"/>
    </xf>
    <xf numFmtId="0" fontId="23" fillId="0" borderId="0" xfId="0" applyFont="1"/>
    <xf numFmtId="0" fontId="21" fillId="8" borderId="9" xfId="0" applyFont="1" applyFill="1" applyBorder="1"/>
    <xf numFmtId="0" fontId="0" fillId="11" borderId="9" xfId="0" applyFill="1" applyBorder="1"/>
    <xf numFmtId="0" fontId="21" fillId="7" borderId="8" xfId="0" applyFont="1" applyFill="1" applyBorder="1" applyAlignment="1">
      <alignment horizontal="center" vertical="center" wrapText="1"/>
    </xf>
    <xf numFmtId="165" fontId="0" fillId="11" borderId="9" xfId="0" applyNumberFormat="1" applyFill="1" applyBorder="1"/>
    <xf numFmtId="0" fontId="0" fillId="0" borderId="9" xfId="0" applyBorder="1" applyAlignment="1">
      <alignment horizontal="center"/>
    </xf>
    <xf numFmtId="167" fontId="0" fillId="0" borderId="9" xfId="0" applyNumberFormat="1" applyBorder="1" applyAlignment="1">
      <alignment horizontal="right"/>
    </xf>
    <xf numFmtId="165" fontId="0" fillId="0" borderId="9" xfId="0" applyNumberFormat="1" applyBorder="1" applyAlignment="1">
      <alignment horizontal="center"/>
    </xf>
    <xf numFmtId="6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6" fontId="0" fillId="11" borderId="9" xfId="0" applyNumberFormat="1" applyFill="1" applyBorder="1"/>
    <xf numFmtId="0" fontId="0" fillId="10" borderId="9" xfId="0" applyFill="1" applyBorder="1" applyAlignment="1">
      <alignment horizontal="center"/>
    </xf>
    <xf numFmtId="167" fontId="0" fillId="10" borderId="9" xfId="0" applyNumberFormat="1" applyFill="1" applyBorder="1" applyAlignment="1">
      <alignment horizontal="right"/>
    </xf>
    <xf numFmtId="165" fontId="0" fillId="10" borderId="9" xfId="0" applyNumberFormat="1" applyFill="1" applyBorder="1" applyAlignment="1">
      <alignment horizontal="center"/>
    </xf>
    <xf numFmtId="6" fontId="0" fillId="10" borderId="9" xfId="0" applyNumberFormat="1" applyFill="1" applyBorder="1" applyAlignment="1">
      <alignment horizontal="right"/>
    </xf>
    <xf numFmtId="164" fontId="0" fillId="10" borderId="9" xfId="0" applyNumberFormat="1" applyFill="1" applyBorder="1" applyAlignment="1">
      <alignment horizontal="right"/>
    </xf>
    <xf numFmtId="0" fontId="2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11" borderId="9" xfId="0" applyNumberFormat="1" applyFill="1" applyBorder="1"/>
    <xf numFmtId="168" fontId="0" fillId="0" borderId="9" xfId="0" applyNumberFormat="1" applyBorder="1" applyAlignment="1">
      <alignment horizontal="right"/>
    </xf>
    <xf numFmtId="168" fontId="0" fillId="10" borderId="9" xfId="0" applyNumberFormat="1" applyFill="1" applyBorder="1" applyAlignment="1">
      <alignment horizontal="right"/>
    </xf>
    <xf numFmtId="0" fontId="24" fillId="7" borderId="0" xfId="0" applyFont="1" applyFill="1"/>
    <xf numFmtId="0" fontId="0" fillId="0" borderId="0" xfId="0"/>
    <xf numFmtId="0" fontId="20" fillId="7" borderId="0" xfId="0" applyFont="1" applyFill="1" applyAlignment="1">
      <alignment vertical="center"/>
    </xf>
    <xf numFmtId="0" fontId="2" fillId="2" borderId="7" xfId="0" applyFont="1" applyFill="1" applyBorder="1" applyAlignment="1">
      <alignment horizontal="center"/>
    </xf>
    <xf numFmtId="0" fontId="0" fillId="0" borderId="7" xfId="0" applyBorder="1"/>
    <xf numFmtId="164" fontId="17" fillId="6" borderId="4" xfId="0" applyNumberFormat="1" applyFont="1" applyFill="1" applyBorder="1" applyAlignment="1">
      <alignment horizontal="center"/>
    </xf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165" fontId="6" fillId="6" borderId="4" xfId="0" applyNumberFormat="1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6" xfId="0" applyBorder="1"/>
    <xf numFmtId="0" fontId="0" fillId="0" borderId="5" xfId="0" applyBorder="1"/>
    <xf numFmtId="164" fontId="5" fillId="6" borderId="4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2" fillId="2" borderId="0" xfId="0" applyFont="1" applyFill="1"/>
  </cellXfs>
  <cellStyles count="1">
    <cellStyle name="Normál" xfId="0" builtinId="0"/>
  </cellStyles>
  <dxfs count="14"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ont>
        <b/>
        <color rgb="FFFF4D5A"/>
      </font>
      <fill>
        <patternFill patternType="solid">
          <fgColor rgb="FF5A2028"/>
        </patternFill>
      </fill>
    </dxf>
    <dxf>
      <font>
        <b/>
        <color rgb="FF19C37D"/>
      </font>
      <fill>
        <patternFill patternType="solid">
          <fgColor rgb="FF164C39"/>
        </patternFill>
      </fill>
    </dxf>
    <dxf>
      <font>
        <b/>
        <color rgb="FFFF4D5A"/>
      </font>
      <fill>
        <patternFill patternType="solid">
          <fgColor rgb="FF5A2028"/>
        </patternFill>
      </fill>
    </dxf>
    <dxf>
      <font>
        <b/>
        <color rgb="FF19C37D"/>
      </font>
      <fill>
        <patternFill patternType="solid">
          <fgColor rgb="FF164C39"/>
        </patternFill>
      </fill>
    </dxf>
    <dxf>
      <font>
        <strike val="0"/>
        <outline val="0"/>
        <shadow val="0"/>
        <vertAlign val="baseline"/>
        <sz val="14"/>
        <name val="Calibri"/>
        <family val="2"/>
      </font>
      <numFmt numFmtId="164" formatCode="#,##0\ &quot;Ft&quot;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F4F6F8"/>
        <name val="Calibri"/>
        <family val="2"/>
      </font>
      <numFmt numFmtId="2" formatCode="0.00"/>
      <fill>
        <patternFill patternType="solid">
          <fgColor indexed="64"/>
          <bgColor rgb="FF202631"/>
        </patternFill>
      </fill>
      <alignment horizontal="center" vertical="center"/>
      <border outline="0">
        <left/>
        <right/>
        <top style="thin">
          <color theme="4" tint="0.39997558519241921"/>
        </top>
        <bottom style="hair">
          <color rgb="FF343B48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4F6F8"/>
        <name val="Calibri"/>
      </font>
      <numFmt numFmtId="164" formatCode="#,##0\ &quot;Ft&quot;"/>
      <fill>
        <patternFill patternType="solid">
          <fgColor indexed="64"/>
          <bgColor rgb="FF202631"/>
        </patternFill>
      </fill>
      <alignment horizontal="center" vertical="center"/>
      <border outline="0">
        <left/>
        <right/>
        <top/>
        <bottom style="hair">
          <color rgb="FF343B48"/>
        </bottom>
      </border>
    </dxf>
    <dxf>
      <alignment horizontal="center" vertical="center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Havi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'Havi elemzés'!$H$6</c:f>
              <c:strCache>
                <c:ptCount val="1"/>
                <c:pt idx="0">
                  <c:v>Havi profit (Ft)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'Havi elemzés'!$A$7:$A$18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</c:numCache>
            </c:numRef>
          </c:cat>
          <c:val>
            <c:numRef>
              <c:f>'Havi elemzés'!$H$7:$H$18</c:f>
              <c:numCache>
                <c:formatCode>#\ ##0\ "Ft"</c:formatCode>
                <c:ptCount val="5"/>
                <c:pt idx="0">
                  <c:v>3160</c:v>
                </c:pt>
                <c:pt idx="1">
                  <c:v>4680</c:v>
                </c:pt>
                <c:pt idx="2">
                  <c:v>13340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2-4FD2-A962-DF7041E78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Hónap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Profit (Ft)</a:t>
                </a:r>
              </a:p>
            </c:rich>
          </c:tx>
          <c:overlay val="1"/>
        </c:title>
        <c:numFmt formatCode="#\ ##0\ &quot;Ft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Heti profit (Ft)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'Heti elemzés'!$H$6</c:f>
              <c:strCache>
                <c:ptCount val="1"/>
                <c:pt idx="0">
                  <c:v>Heti profit (Ft)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'Heti elemzés'!$A$7:$A$59</c:f>
              <c:strCache>
                <c:ptCount val="19"/>
                <c:pt idx="0">
                  <c:v>CW35</c:v>
                </c:pt>
                <c:pt idx="1">
                  <c:v>CW36</c:v>
                </c:pt>
                <c:pt idx="2">
                  <c:v>CW37</c:v>
                </c:pt>
                <c:pt idx="3">
                  <c:v>CW38</c:v>
                </c:pt>
                <c:pt idx="4">
                  <c:v>CW39</c:v>
                </c:pt>
                <c:pt idx="5">
                  <c:v>CW40</c:v>
                </c:pt>
                <c:pt idx="6">
                  <c:v>CW41</c:v>
                </c:pt>
                <c:pt idx="7">
                  <c:v>CW42</c:v>
                </c:pt>
                <c:pt idx="8">
                  <c:v>CW43</c:v>
                </c:pt>
                <c:pt idx="9">
                  <c:v>CW44</c:v>
                </c:pt>
                <c:pt idx="10">
                  <c:v>CW45</c:v>
                </c:pt>
                <c:pt idx="11">
                  <c:v>CW46</c:v>
                </c:pt>
                <c:pt idx="12">
                  <c:v>CW47</c:v>
                </c:pt>
                <c:pt idx="13">
                  <c:v>CW48</c:v>
                </c:pt>
                <c:pt idx="14">
                  <c:v>CW49</c:v>
                </c:pt>
                <c:pt idx="15">
                  <c:v>CW50</c:v>
                </c:pt>
                <c:pt idx="16">
                  <c:v>CW51</c:v>
                </c:pt>
                <c:pt idx="17">
                  <c:v>CW52</c:v>
                </c:pt>
                <c:pt idx="18">
                  <c:v>CW53</c:v>
                </c:pt>
              </c:strCache>
            </c:strRef>
          </c:cat>
          <c:val>
            <c:numRef>
              <c:f>'Heti elemzés'!$H$7:$H$59</c:f>
              <c:numCache>
                <c:formatCode>"Ft"#,##0_);[Red]\("Ft"#,##0\)</c:formatCode>
                <c:ptCount val="19"/>
                <c:pt idx="0">
                  <c:v>2210</c:v>
                </c:pt>
                <c:pt idx="1">
                  <c:v>3760</c:v>
                </c:pt>
                <c:pt idx="2">
                  <c:v>3480</c:v>
                </c:pt>
                <c:pt idx="3">
                  <c:v>6950</c:v>
                </c:pt>
                <c:pt idx="4">
                  <c:v>-2560</c:v>
                </c:pt>
                <c:pt idx="5">
                  <c:v>1939.9999999999995</c:v>
                </c:pt>
                <c:pt idx="6">
                  <c:v>8760</c:v>
                </c:pt>
                <c:pt idx="7">
                  <c:v>1819.9999999999995</c:v>
                </c:pt>
                <c:pt idx="8">
                  <c:v>-5180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9-4A58-83DB-D0D29AB13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Hét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Profit (Ft)</a:t>
                </a:r>
              </a:p>
            </c:rich>
          </c:tx>
          <c:overlay val="1"/>
        </c:title>
        <c:numFmt formatCode="&quot;Ft&quot;#,##0_);[Red]\(&quot;Ft&quot;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8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11</xdr:row>
      <xdr:rowOff>0</xdr:rowOff>
    </xdr:from>
    <xdr:ext cx="61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ppmixNaplo" displayName="TippmixNaplo" ref="C6:I133" dataDxfId="13">
  <autoFilter ref="C6:I133" xr:uid="{00000000-0009-0000-0100-000001000000}"/>
  <tableColumns count="7">
    <tableColumn id="1" xr3:uid="{00000000-0010-0000-0000-000001000000}" name="Dátum" dataDxfId="12"/>
    <tableColumn id="4" xr3:uid="{00000000-0010-0000-0000-000004000000}" name="Tét" dataDxfId="11"/>
    <tableColumn id="5" xr3:uid="{00000000-0010-0000-0000-000005000000}" name="Odds" dataDxfId="10"/>
    <tableColumn id="6" xr3:uid="{00000000-0010-0000-0000-000006000000}" name="Lehetséges_x000a_nyeremény" dataDxfId="9"/>
    <tableColumn id="7" xr3:uid="{00000000-0010-0000-0000-000007000000}" name="Eredmény" dataDxfId="8"/>
    <tableColumn id="8" xr3:uid="{00000000-0010-0000-0000-000008000000}" name="Nyeremény" dataDxfId="7"/>
    <tableColumn id="9" xr3:uid="{00000000-0010-0000-0000-000009000000}" name="Profit" dataDxfId="6">
      <calculatedColumnFormula>IF(G7="Nyert",H7-D7,IF(G7="Veszített",-D7,0))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33"/>
  <sheetViews>
    <sheetView showGridLines="0" tabSelected="1" zoomScaleNormal="100" workbookViewId="0">
      <pane ySplit="6" topLeftCell="A59" activePane="bottomLeft" state="frozen"/>
      <selection pane="bottomLeft" activeCell="G74" sqref="G74"/>
    </sheetView>
  </sheetViews>
  <sheetFormatPr defaultRowHeight="15" x14ac:dyDescent="0.25"/>
  <cols>
    <col min="1" max="1" width="60.85546875" customWidth="1"/>
    <col min="2" max="2" width="9.140625" customWidth="1"/>
    <col min="3" max="3" width="11.42578125" bestFit="1" customWidth="1"/>
    <col min="4" max="4" width="14.140625" customWidth="1"/>
    <col min="5" max="5" width="10.140625" bestFit="1" customWidth="1"/>
    <col min="6" max="6" width="15.7109375" bestFit="1" customWidth="1"/>
    <col min="7" max="7" width="14.5703125" bestFit="1" customWidth="1"/>
    <col min="8" max="8" width="16" bestFit="1" customWidth="1"/>
    <col min="9" max="9" width="17.140625" customWidth="1"/>
    <col min="10" max="10" width="36.140625" hidden="1" customWidth="1"/>
    <col min="11" max="11" width="96.140625" hidden="1" customWidth="1"/>
    <col min="12" max="12" width="159.140625" customWidth="1"/>
    <col min="13" max="13" width="9.140625" customWidth="1"/>
  </cols>
  <sheetData>
    <row r="1" spans="1:18" ht="38.1" customHeight="1" x14ac:dyDescent="0.25">
      <c r="A1" s="18"/>
      <c r="B1" s="18"/>
      <c r="C1" s="50" t="s">
        <v>0</v>
      </c>
      <c r="D1" s="44"/>
      <c r="E1" s="44"/>
      <c r="F1" s="44"/>
      <c r="G1" s="44"/>
      <c r="H1" s="44"/>
      <c r="I1" s="44"/>
      <c r="J1" s="44"/>
      <c r="K1" s="44"/>
      <c r="L1" s="18"/>
    </row>
    <row r="2" spans="1:18" ht="24" customHeight="1" x14ac:dyDescent="0.25">
      <c r="A2" s="18"/>
      <c r="B2" s="18"/>
      <c r="C2" s="46" t="s">
        <v>1</v>
      </c>
      <c r="D2" s="47"/>
      <c r="E2" s="47"/>
      <c r="F2" s="47"/>
      <c r="G2" s="47"/>
      <c r="H2" s="47"/>
      <c r="I2" s="47"/>
      <c r="J2" s="47"/>
      <c r="K2" s="47"/>
      <c r="L2" s="18"/>
    </row>
    <row r="3" spans="1:18" ht="21" customHeight="1" x14ac:dyDescent="0.25">
      <c r="A3" s="18"/>
      <c r="B3" s="18"/>
      <c r="C3" s="53" t="s">
        <v>2</v>
      </c>
      <c r="D3" s="55"/>
      <c r="E3" s="53"/>
      <c r="F3" s="55"/>
      <c r="G3" s="53" t="s">
        <v>3</v>
      </c>
      <c r="H3" s="55"/>
      <c r="I3" s="53" t="s">
        <v>4</v>
      </c>
      <c r="J3" s="54"/>
      <c r="K3" s="55"/>
      <c r="L3" s="18"/>
      <c r="R3" s="19"/>
    </row>
    <row r="4" spans="1:18" ht="23.25" customHeight="1" x14ac:dyDescent="0.35">
      <c r="A4" s="18"/>
      <c r="B4" s="18"/>
      <c r="C4" s="56">
        <f>SUM(I7:I133)</f>
        <v>21180</v>
      </c>
      <c r="D4" s="49"/>
      <c r="E4" s="48"/>
      <c r="F4" s="49"/>
      <c r="G4" s="51">
        <f>IFERROR(COUNTIF(G7:G133,"Nyert")/(COUNTIF(G7:G133,"Nyert")+COUNTIF(G7:G133,"Veszített")),0)</f>
        <v>0.60606060606060608</v>
      </c>
      <c r="H4" s="49"/>
      <c r="I4" s="52">
        <f>COUNTIF(G7:G133,"&lt;&gt;")</f>
        <v>66</v>
      </c>
      <c r="J4" s="49"/>
      <c r="K4" s="49"/>
      <c r="L4" s="18"/>
      <c r="R4" s="19"/>
    </row>
    <row r="5" spans="1:18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8" ht="41.25" customHeight="1" x14ac:dyDescent="0.25">
      <c r="A6" s="18"/>
      <c r="B6" s="18"/>
      <c r="C6" s="1" t="s">
        <v>5</v>
      </c>
      <c r="D6" s="1" t="s">
        <v>6</v>
      </c>
      <c r="E6" s="8" t="s">
        <v>7</v>
      </c>
      <c r="F6" s="9" t="s">
        <v>8</v>
      </c>
      <c r="G6" s="1" t="s">
        <v>9</v>
      </c>
      <c r="H6" s="1" t="s">
        <v>10</v>
      </c>
      <c r="I6" s="10" t="s">
        <v>11</v>
      </c>
      <c r="L6" s="18"/>
    </row>
    <row r="7" spans="1:18" ht="18.75" customHeight="1" x14ac:dyDescent="0.25">
      <c r="A7" s="18"/>
      <c r="B7" s="18"/>
      <c r="C7" s="11">
        <v>46262</v>
      </c>
      <c r="D7" s="12">
        <v>1000</v>
      </c>
      <c r="E7" s="13">
        <v>2.74</v>
      </c>
      <c r="F7" s="14">
        <f t="shared" ref="F7:F38" si="0">IF(OR(E7="",D7=""),"",E7*D7)</f>
        <v>2740</v>
      </c>
      <c r="G7" s="15" t="s">
        <v>12</v>
      </c>
      <c r="H7" s="14">
        <f t="shared" ref="H7:H38" si="1">IF(G7="Nyert",F7,0)</f>
        <v>2740</v>
      </c>
      <c r="I7" s="16">
        <f t="shared" ref="I7:I38" si="2">IF(G7="Nyert",H7-D7,IF(G7="Veszített",-D7,0))</f>
        <v>1740</v>
      </c>
      <c r="L7" s="18"/>
    </row>
    <row r="8" spans="1:18" ht="18.75" customHeight="1" x14ac:dyDescent="0.25">
      <c r="A8" s="18"/>
      <c r="B8" s="18"/>
      <c r="C8" s="11">
        <v>46263</v>
      </c>
      <c r="D8" s="12">
        <v>1000</v>
      </c>
      <c r="E8" s="13">
        <v>2.25</v>
      </c>
      <c r="F8" s="17">
        <f t="shared" si="0"/>
        <v>2250</v>
      </c>
      <c r="G8" s="15" t="s">
        <v>13</v>
      </c>
      <c r="H8" s="17">
        <f t="shared" si="1"/>
        <v>0</v>
      </c>
      <c r="I8" s="16">
        <f t="shared" si="2"/>
        <v>-1000</v>
      </c>
      <c r="L8" s="18"/>
    </row>
    <row r="9" spans="1:18" ht="18.75" customHeight="1" x14ac:dyDescent="0.25">
      <c r="A9" s="18"/>
      <c r="B9" s="18"/>
      <c r="C9" s="11">
        <v>46264</v>
      </c>
      <c r="D9" s="12">
        <v>1000</v>
      </c>
      <c r="E9" s="13">
        <v>2.4700000000000002</v>
      </c>
      <c r="F9" s="14">
        <f t="shared" si="0"/>
        <v>2470</v>
      </c>
      <c r="G9" s="15" t="s">
        <v>12</v>
      </c>
      <c r="H9" s="14">
        <f t="shared" si="1"/>
        <v>2470</v>
      </c>
      <c r="I9" s="16">
        <f t="shared" si="2"/>
        <v>1470</v>
      </c>
      <c r="L9" s="18"/>
    </row>
    <row r="10" spans="1:18" ht="18.75" customHeight="1" x14ac:dyDescent="0.25">
      <c r="A10" s="18"/>
      <c r="B10" s="18"/>
      <c r="C10" s="11">
        <v>46265</v>
      </c>
      <c r="D10" s="12">
        <v>1000</v>
      </c>
      <c r="E10" s="13">
        <v>1.95</v>
      </c>
      <c r="F10" s="17">
        <f t="shared" si="0"/>
        <v>1950</v>
      </c>
      <c r="G10" s="15" t="s">
        <v>12</v>
      </c>
      <c r="H10" s="17">
        <f t="shared" si="1"/>
        <v>1950</v>
      </c>
      <c r="I10" s="16">
        <f t="shared" si="2"/>
        <v>950</v>
      </c>
      <c r="L10" s="18"/>
    </row>
    <row r="11" spans="1:18" ht="18.75" customHeight="1" x14ac:dyDescent="0.25">
      <c r="A11" s="18"/>
      <c r="B11" s="18"/>
      <c r="C11" s="11">
        <v>46266</v>
      </c>
      <c r="D11" s="12">
        <v>1000</v>
      </c>
      <c r="E11" s="13">
        <v>4.0599999999999996</v>
      </c>
      <c r="F11" s="14">
        <f t="shared" si="0"/>
        <v>4059.9999999999995</v>
      </c>
      <c r="G11" s="15" t="s">
        <v>13</v>
      </c>
      <c r="H11" s="14">
        <f t="shared" si="1"/>
        <v>0</v>
      </c>
      <c r="I11" s="16">
        <f t="shared" si="2"/>
        <v>-1000</v>
      </c>
      <c r="L11" s="18"/>
    </row>
    <row r="12" spans="1:18" ht="18.75" customHeight="1" x14ac:dyDescent="0.25">
      <c r="A12" s="18"/>
      <c r="B12" s="18"/>
      <c r="C12" s="11">
        <v>46267</v>
      </c>
      <c r="D12" s="12">
        <v>1000</v>
      </c>
      <c r="E12" s="13">
        <v>2.56</v>
      </c>
      <c r="F12" s="17">
        <f t="shared" si="0"/>
        <v>2560</v>
      </c>
      <c r="G12" s="15" t="s">
        <v>12</v>
      </c>
      <c r="H12" s="17">
        <f t="shared" si="1"/>
        <v>2560</v>
      </c>
      <c r="I12" s="16">
        <f t="shared" si="2"/>
        <v>1560</v>
      </c>
      <c r="L12" s="18"/>
    </row>
    <row r="13" spans="1:18" ht="18.75" customHeight="1" x14ac:dyDescent="0.25">
      <c r="A13" s="18"/>
      <c r="B13" s="18"/>
      <c r="C13" s="11">
        <v>46268</v>
      </c>
      <c r="D13" s="12">
        <v>1000</v>
      </c>
      <c r="E13" s="13">
        <v>2.62</v>
      </c>
      <c r="F13" s="14">
        <f t="shared" si="0"/>
        <v>2620</v>
      </c>
      <c r="G13" s="15" t="s">
        <v>12</v>
      </c>
      <c r="H13" s="14">
        <f t="shared" si="1"/>
        <v>2620</v>
      </c>
      <c r="I13" s="16">
        <f t="shared" si="2"/>
        <v>1620</v>
      </c>
      <c r="L13" s="18"/>
    </row>
    <row r="14" spans="1:18" ht="18.75" customHeight="1" x14ac:dyDescent="0.25">
      <c r="A14" s="18"/>
      <c r="B14" s="18"/>
      <c r="C14" s="11">
        <v>46269</v>
      </c>
      <c r="D14" s="12">
        <v>1000</v>
      </c>
      <c r="E14" s="13">
        <v>1.47</v>
      </c>
      <c r="F14" s="17">
        <f t="shared" si="0"/>
        <v>1470</v>
      </c>
      <c r="G14" s="15" t="s">
        <v>13</v>
      </c>
      <c r="H14" s="17">
        <f t="shared" si="1"/>
        <v>0</v>
      </c>
      <c r="I14" s="16">
        <f t="shared" si="2"/>
        <v>-1000</v>
      </c>
      <c r="L14" s="18"/>
    </row>
    <row r="15" spans="1:18" ht="18.75" customHeight="1" x14ac:dyDescent="0.25">
      <c r="A15" s="18"/>
      <c r="B15" s="18"/>
      <c r="C15" s="11">
        <v>46270</v>
      </c>
      <c r="D15" s="12">
        <v>1000</v>
      </c>
      <c r="E15" s="13">
        <v>1.98</v>
      </c>
      <c r="F15" s="14">
        <f t="shared" si="0"/>
        <v>1980</v>
      </c>
      <c r="G15" s="15" t="s">
        <v>12</v>
      </c>
      <c r="H15" s="14">
        <f t="shared" si="1"/>
        <v>1980</v>
      </c>
      <c r="I15" s="16">
        <f t="shared" si="2"/>
        <v>980</v>
      </c>
      <c r="L15" s="18"/>
    </row>
    <row r="16" spans="1:18" ht="18.75" customHeight="1" x14ac:dyDescent="0.25">
      <c r="A16" s="18"/>
      <c r="B16" s="18"/>
      <c r="C16" s="11">
        <v>46271</v>
      </c>
      <c r="D16" s="12">
        <v>1000</v>
      </c>
      <c r="E16" s="13">
        <v>1.65</v>
      </c>
      <c r="F16" s="17">
        <f t="shared" si="0"/>
        <v>1650</v>
      </c>
      <c r="G16" s="15" t="s">
        <v>12</v>
      </c>
      <c r="H16" s="17">
        <f t="shared" si="1"/>
        <v>1650</v>
      </c>
      <c r="I16" s="16">
        <f t="shared" si="2"/>
        <v>650</v>
      </c>
      <c r="L16" s="18"/>
    </row>
    <row r="17" spans="1:12" ht="18.75" customHeight="1" x14ac:dyDescent="0.25">
      <c r="A17" s="18"/>
      <c r="B17" s="18"/>
      <c r="C17" s="11">
        <v>46272</v>
      </c>
      <c r="D17" s="12">
        <v>1000</v>
      </c>
      <c r="E17" s="13">
        <v>2.0299999999999998</v>
      </c>
      <c r="F17" s="14">
        <f t="shared" si="0"/>
        <v>2029.9999999999998</v>
      </c>
      <c r="G17" s="15" t="s">
        <v>12</v>
      </c>
      <c r="H17" s="14">
        <f t="shared" si="1"/>
        <v>2029.9999999999998</v>
      </c>
      <c r="I17" s="16">
        <f t="shared" si="2"/>
        <v>1029.9999999999998</v>
      </c>
      <c r="L17" s="18"/>
    </row>
    <row r="18" spans="1:12" ht="18.75" customHeight="1" x14ac:dyDescent="0.25">
      <c r="A18" s="18"/>
      <c r="B18" s="18"/>
      <c r="C18" s="11">
        <v>46273</v>
      </c>
      <c r="D18" s="12">
        <v>1000</v>
      </c>
      <c r="E18" s="13">
        <v>1.74</v>
      </c>
      <c r="F18" s="17">
        <f t="shared" si="0"/>
        <v>1740</v>
      </c>
      <c r="G18" s="15" t="s">
        <v>12</v>
      </c>
      <c r="H18" s="17">
        <f t="shared" si="1"/>
        <v>1740</v>
      </c>
      <c r="I18" s="16">
        <f t="shared" si="2"/>
        <v>740</v>
      </c>
      <c r="L18" s="18"/>
    </row>
    <row r="19" spans="1:12" ht="18.75" customHeight="1" x14ac:dyDescent="0.25">
      <c r="A19" s="18"/>
      <c r="B19" s="18"/>
      <c r="C19" s="11">
        <v>46274</v>
      </c>
      <c r="D19" s="12">
        <v>1000</v>
      </c>
      <c r="E19" s="13">
        <v>1.39</v>
      </c>
      <c r="F19" s="14">
        <f t="shared" si="0"/>
        <v>1390</v>
      </c>
      <c r="G19" s="15" t="s">
        <v>12</v>
      </c>
      <c r="H19" s="14">
        <f t="shared" si="1"/>
        <v>1390</v>
      </c>
      <c r="I19" s="16">
        <f t="shared" si="2"/>
        <v>390</v>
      </c>
      <c r="L19" s="18"/>
    </row>
    <row r="20" spans="1:12" ht="18.75" customHeight="1" x14ac:dyDescent="0.25">
      <c r="A20" s="18"/>
      <c r="B20" s="18"/>
      <c r="C20" s="11">
        <v>46274</v>
      </c>
      <c r="D20" s="12">
        <v>1000</v>
      </c>
      <c r="E20" s="13">
        <v>2.97</v>
      </c>
      <c r="F20" s="17">
        <f t="shared" si="0"/>
        <v>2970</v>
      </c>
      <c r="G20" s="15" t="s">
        <v>12</v>
      </c>
      <c r="H20" s="17">
        <f t="shared" si="1"/>
        <v>2970</v>
      </c>
      <c r="I20" s="16">
        <f t="shared" si="2"/>
        <v>1970</v>
      </c>
      <c r="L20" s="18"/>
    </row>
    <row r="21" spans="1:12" ht="18.75" customHeight="1" x14ac:dyDescent="0.25">
      <c r="A21" s="18"/>
      <c r="B21" s="18"/>
      <c r="C21" s="11">
        <v>46275</v>
      </c>
      <c r="D21" s="12">
        <v>1000</v>
      </c>
      <c r="E21" s="13">
        <v>2.84</v>
      </c>
      <c r="F21" s="14">
        <f t="shared" si="0"/>
        <v>2840</v>
      </c>
      <c r="G21" s="15" t="s">
        <v>13</v>
      </c>
      <c r="H21" s="14">
        <f t="shared" si="1"/>
        <v>0</v>
      </c>
      <c r="I21" s="16">
        <f t="shared" si="2"/>
        <v>-1000</v>
      </c>
      <c r="L21" s="18"/>
    </row>
    <row r="22" spans="1:12" ht="18.75" customHeight="1" x14ac:dyDescent="0.25">
      <c r="A22" s="18"/>
      <c r="B22" s="18"/>
      <c r="C22" s="11">
        <v>46276</v>
      </c>
      <c r="D22" s="12">
        <v>1000</v>
      </c>
      <c r="E22" s="13">
        <v>2.04</v>
      </c>
      <c r="F22" s="17">
        <f t="shared" si="0"/>
        <v>2040</v>
      </c>
      <c r="G22" s="15" t="s">
        <v>12</v>
      </c>
      <c r="H22" s="17">
        <f t="shared" si="1"/>
        <v>2040</v>
      </c>
      <c r="I22" s="16">
        <f t="shared" si="2"/>
        <v>1040</v>
      </c>
      <c r="L22" s="18"/>
    </row>
    <row r="23" spans="1:12" ht="18.75" customHeight="1" x14ac:dyDescent="0.25">
      <c r="A23" s="18"/>
      <c r="B23" s="18"/>
      <c r="C23" s="11">
        <v>46276</v>
      </c>
      <c r="D23" s="12">
        <v>1000</v>
      </c>
      <c r="E23" s="13">
        <v>1.99</v>
      </c>
      <c r="F23" s="14">
        <f t="shared" si="0"/>
        <v>1990</v>
      </c>
      <c r="G23" s="15" t="s">
        <v>13</v>
      </c>
      <c r="H23" s="14">
        <f t="shared" si="1"/>
        <v>0</v>
      </c>
      <c r="I23" s="16">
        <f t="shared" si="2"/>
        <v>-1000</v>
      </c>
      <c r="L23" s="18"/>
    </row>
    <row r="24" spans="1:12" ht="18.75" customHeight="1" x14ac:dyDescent="0.25">
      <c r="A24" s="18"/>
      <c r="B24" s="18"/>
      <c r="C24" s="11">
        <v>46277</v>
      </c>
      <c r="D24" s="12">
        <v>1000</v>
      </c>
      <c r="E24" s="13">
        <v>2.16</v>
      </c>
      <c r="F24" s="14">
        <f t="shared" si="0"/>
        <v>2160</v>
      </c>
      <c r="G24" s="15" t="s">
        <v>13</v>
      </c>
      <c r="H24" s="17">
        <f t="shared" si="1"/>
        <v>0</v>
      </c>
      <c r="I24" s="16">
        <f t="shared" si="2"/>
        <v>-1000</v>
      </c>
      <c r="L24" s="18"/>
    </row>
    <row r="25" spans="1:12" ht="18.75" customHeight="1" x14ac:dyDescent="0.25">
      <c r="A25" s="18"/>
      <c r="B25" s="18"/>
      <c r="C25" s="11">
        <v>46278</v>
      </c>
      <c r="D25" s="12">
        <v>1000</v>
      </c>
      <c r="E25" s="13">
        <v>1.71</v>
      </c>
      <c r="F25" s="14">
        <f t="shared" si="0"/>
        <v>1710</v>
      </c>
      <c r="G25" s="15" t="s">
        <v>12</v>
      </c>
      <c r="H25" s="14">
        <f t="shared" si="1"/>
        <v>1710</v>
      </c>
      <c r="I25" s="16">
        <f t="shared" si="2"/>
        <v>710</v>
      </c>
      <c r="L25" s="18"/>
    </row>
    <row r="26" spans="1:12" ht="18.75" customHeight="1" x14ac:dyDescent="0.25">
      <c r="A26" s="18"/>
      <c r="B26" s="18"/>
      <c r="C26" s="11">
        <v>46278</v>
      </c>
      <c r="D26" s="12">
        <v>1000</v>
      </c>
      <c r="E26" s="13">
        <v>1.6</v>
      </c>
      <c r="F26" s="17">
        <f t="shared" si="0"/>
        <v>1600</v>
      </c>
      <c r="G26" s="15" t="s">
        <v>12</v>
      </c>
      <c r="H26" s="17">
        <f t="shared" si="1"/>
        <v>1600</v>
      </c>
      <c r="I26" s="16">
        <f t="shared" si="2"/>
        <v>600</v>
      </c>
      <c r="L26" s="18"/>
    </row>
    <row r="27" spans="1:12" ht="18.75" customHeight="1" x14ac:dyDescent="0.25">
      <c r="A27" s="18"/>
      <c r="B27" s="18"/>
      <c r="C27" s="11">
        <v>46279</v>
      </c>
      <c r="D27" s="12">
        <v>1000</v>
      </c>
      <c r="E27" s="13">
        <v>1.76</v>
      </c>
      <c r="F27" s="14">
        <f t="shared" si="0"/>
        <v>1760</v>
      </c>
      <c r="G27" s="15" t="s">
        <v>12</v>
      </c>
      <c r="H27" s="14">
        <f t="shared" si="1"/>
        <v>1760</v>
      </c>
      <c r="I27" s="16">
        <f t="shared" si="2"/>
        <v>760</v>
      </c>
      <c r="L27" s="18"/>
    </row>
    <row r="28" spans="1:12" ht="18.75" customHeight="1" x14ac:dyDescent="0.25">
      <c r="A28" s="18"/>
      <c r="B28" s="18"/>
      <c r="C28" s="11">
        <v>46279</v>
      </c>
      <c r="D28" s="12">
        <v>1000</v>
      </c>
      <c r="E28" s="13">
        <v>2.17</v>
      </c>
      <c r="F28" s="17">
        <f t="shared" si="0"/>
        <v>2170</v>
      </c>
      <c r="G28" s="15" t="s">
        <v>12</v>
      </c>
      <c r="H28" s="17">
        <f t="shared" si="1"/>
        <v>2170</v>
      </c>
      <c r="I28" s="16">
        <f t="shared" si="2"/>
        <v>1170</v>
      </c>
      <c r="L28" s="18"/>
    </row>
    <row r="29" spans="1:12" ht="18.75" customHeight="1" x14ac:dyDescent="0.25">
      <c r="A29" s="18"/>
      <c r="B29" s="18"/>
      <c r="C29" s="11">
        <v>46280</v>
      </c>
      <c r="D29" s="12">
        <v>1000</v>
      </c>
      <c r="E29" s="13">
        <v>2.15</v>
      </c>
      <c r="F29" s="14">
        <f t="shared" si="0"/>
        <v>2150</v>
      </c>
      <c r="G29" s="15" t="s">
        <v>12</v>
      </c>
      <c r="H29" s="14">
        <f t="shared" si="1"/>
        <v>2150</v>
      </c>
      <c r="I29" s="16">
        <f t="shared" si="2"/>
        <v>1150</v>
      </c>
      <c r="L29" s="18"/>
    </row>
    <row r="30" spans="1:12" ht="18.75" customHeight="1" x14ac:dyDescent="0.25">
      <c r="A30" s="18"/>
      <c r="B30" s="18"/>
      <c r="C30" s="11">
        <v>46280</v>
      </c>
      <c r="D30" s="12">
        <v>1000</v>
      </c>
      <c r="E30" s="13">
        <v>2.88</v>
      </c>
      <c r="F30" s="17">
        <f t="shared" si="0"/>
        <v>2880</v>
      </c>
      <c r="G30" s="15" t="s">
        <v>12</v>
      </c>
      <c r="H30" s="17">
        <f t="shared" si="1"/>
        <v>2880</v>
      </c>
      <c r="I30" s="16">
        <f t="shared" si="2"/>
        <v>1880</v>
      </c>
      <c r="L30" s="18"/>
    </row>
    <row r="31" spans="1:12" ht="18.75" customHeight="1" x14ac:dyDescent="0.25">
      <c r="A31" s="18"/>
      <c r="B31" s="18"/>
      <c r="C31" s="11">
        <v>46281</v>
      </c>
      <c r="D31" s="12">
        <v>1000</v>
      </c>
      <c r="E31" s="13">
        <v>2.16</v>
      </c>
      <c r="F31" s="14">
        <f t="shared" si="0"/>
        <v>2160</v>
      </c>
      <c r="G31" s="15" t="s">
        <v>12</v>
      </c>
      <c r="H31" s="14">
        <f t="shared" si="1"/>
        <v>2160</v>
      </c>
      <c r="I31" s="16">
        <f t="shared" si="2"/>
        <v>1160</v>
      </c>
      <c r="L31" s="18"/>
    </row>
    <row r="32" spans="1:12" ht="18.75" customHeight="1" x14ac:dyDescent="0.25">
      <c r="A32" s="18"/>
      <c r="B32" s="18"/>
      <c r="C32" s="11">
        <v>46282</v>
      </c>
      <c r="D32" s="12">
        <v>1000</v>
      </c>
      <c r="E32" s="13">
        <v>2.11</v>
      </c>
      <c r="F32" s="17">
        <f t="shared" si="0"/>
        <v>2110</v>
      </c>
      <c r="G32" s="15" t="s">
        <v>13</v>
      </c>
      <c r="H32" s="17">
        <f t="shared" si="1"/>
        <v>0</v>
      </c>
      <c r="I32" s="16">
        <f t="shared" si="2"/>
        <v>-1000</v>
      </c>
      <c r="L32" s="18"/>
    </row>
    <row r="33" spans="1:12" ht="18.75" customHeight="1" x14ac:dyDescent="0.25">
      <c r="A33" s="18"/>
      <c r="B33" s="18"/>
      <c r="C33" s="11">
        <v>46282</v>
      </c>
      <c r="D33" s="12">
        <v>1000</v>
      </c>
      <c r="E33" s="13">
        <v>1.82</v>
      </c>
      <c r="F33" s="14">
        <f t="shared" si="0"/>
        <v>1820</v>
      </c>
      <c r="G33" s="15" t="s">
        <v>12</v>
      </c>
      <c r="H33" s="14">
        <f t="shared" si="1"/>
        <v>1820</v>
      </c>
      <c r="I33" s="16">
        <f t="shared" si="2"/>
        <v>820</v>
      </c>
      <c r="L33" s="18"/>
    </row>
    <row r="34" spans="1:12" ht="18.75" customHeight="1" x14ac:dyDescent="0.25">
      <c r="A34" s="18"/>
      <c r="B34" s="18"/>
      <c r="C34" s="11">
        <v>46283</v>
      </c>
      <c r="D34" s="12">
        <v>1000</v>
      </c>
      <c r="E34" s="13">
        <v>1.95</v>
      </c>
      <c r="F34" s="17">
        <f t="shared" si="0"/>
        <v>1950</v>
      </c>
      <c r="G34" s="15" t="s">
        <v>12</v>
      </c>
      <c r="H34" s="17">
        <f t="shared" si="1"/>
        <v>1950</v>
      </c>
      <c r="I34" s="16">
        <f t="shared" si="2"/>
        <v>950</v>
      </c>
      <c r="L34" s="18"/>
    </row>
    <row r="35" spans="1:12" ht="18.75" customHeight="1" x14ac:dyDescent="0.25">
      <c r="A35" s="18"/>
      <c r="B35" s="18"/>
      <c r="C35" s="11">
        <v>46284</v>
      </c>
      <c r="D35" s="12">
        <v>2000</v>
      </c>
      <c r="E35" s="13">
        <v>2.85</v>
      </c>
      <c r="F35" s="14">
        <f t="shared" si="0"/>
        <v>5700</v>
      </c>
      <c r="G35" s="15" t="s">
        <v>13</v>
      </c>
      <c r="H35" s="14">
        <f t="shared" si="1"/>
        <v>0</v>
      </c>
      <c r="I35" s="16">
        <f t="shared" si="2"/>
        <v>-2000</v>
      </c>
      <c r="L35" s="18"/>
    </row>
    <row r="36" spans="1:12" ht="18.75" customHeight="1" x14ac:dyDescent="0.25">
      <c r="A36" s="18"/>
      <c r="B36" s="18"/>
      <c r="C36" s="11">
        <v>46285</v>
      </c>
      <c r="D36" s="12">
        <v>2000</v>
      </c>
      <c r="E36" s="13">
        <v>2.0299999999999998</v>
      </c>
      <c r="F36" s="17">
        <f t="shared" si="0"/>
        <v>4059.9999999999995</v>
      </c>
      <c r="G36" s="15" t="s">
        <v>12</v>
      </c>
      <c r="H36" s="17">
        <f t="shared" si="1"/>
        <v>4059.9999999999995</v>
      </c>
      <c r="I36" s="16">
        <f t="shared" si="2"/>
        <v>2059.9999999999995</v>
      </c>
      <c r="L36" s="18"/>
    </row>
    <row r="37" spans="1:12" ht="18.75" customHeight="1" x14ac:dyDescent="0.25">
      <c r="A37" s="18"/>
      <c r="B37" s="18"/>
      <c r="C37" s="11">
        <v>46286</v>
      </c>
      <c r="D37" s="12">
        <v>2000</v>
      </c>
      <c r="E37" s="13">
        <v>2.02</v>
      </c>
      <c r="F37" s="14">
        <f t="shared" si="0"/>
        <v>4040</v>
      </c>
      <c r="G37" s="15" t="s">
        <v>12</v>
      </c>
      <c r="H37" s="14">
        <f t="shared" si="1"/>
        <v>4040</v>
      </c>
      <c r="I37" s="16">
        <f t="shared" si="2"/>
        <v>2040</v>
      </c>
      <c r="L37" s="18"/>
    </row>
    <row r="38" spans="1:12" ht="18.75" customHeight="1" x14ac:dyDescent="0.25">
      <c r="A38" s="18"/>
      <c r="B38" s="18"/>
      <c r="C38" s="11">
        <v>46287</v>
      </c>
      <c r="D38" s="12">
        <v>2000</v>
      </c>
      <c r="E38" s="13">
        <v>2.4900000000000002</v>
      </c>
      <c r="F38" s="17">
        <f t="shared" si="0"/>
        <v>4980</v>
      </c>
      <c r="G38" s="15" t="s">
        <v>13</v>
      </c>
      <c r="H38" s="17">
        <f t="shared" si="1"/>
        <v>0</v>
      </c>
      <c r="I38" s="16">
        <f t="shared" si="2"/>
        <v>-2000</v>
      </c>
      <c r="L38" s="18"/>
    </row>
    <row r="39" spans="1:12" ht="18.75" customHeight="1" x14ac:dyDescent="0.25">
      <c r="A39" s="18"/>
      <c r="B39" s="18"/>
      <c r="C39" s="11">
        <v>46288</v>
      </c>
      <c r="D39" s="12">
        <v>2000</v>
      </c>
      <c r="E39" s="13">
        <v>1.62</v>
      </c>
      <c r="F39" s="14">
        <f t="shared" ref="F39:F70" si="3">IF(OR(E39="",D39=""),"",E39*D39)</f>
        <v>3240</v>
      </c>
      <c r="G39" s="15" t="s">
        <v>13</v>
      </c>
      <c r="H39" s="14">
        <f t="shared" ref="H39:H70" si="4">IF(G39="Nyert",F39,0)</f>
        <v>0</v>
      </c>
      <c r="I39" s="16">
        <f t="shared" ref="I39:I70" si="5">IF(G39="Nyert",H39-D39,IF(G39="Veszített",-D39,0))</f>
        <v>-2000</v>
      </c>
      <c r="L39" s="18"/>
    </row>
    <row r="40" spans="1:12" ht="18.75" customHeight="1" x14ac:dyDescent="0.25">
      <c r="A40" s="18"/>
      <c r="B40" s="18"/>
      <c r="C40" s="11">
        <v>46289</v>
      </c>
      <c r="D40" s="12">
        <v>2000</v>
      </c>
      <c r="E40" s="13">
        <v>2.61</v>
      </c>
      <c r="F40" s="17">
        <f t="shared" si="3"/>
        <v>5220</v>
      </c>
      <c r="G40" s="15" t="s">
        <v>12</v>
      </c>
      <c r="H40" s="17">
        <f t="shared" si="4"/>
        <v>5220</v>
      </c>
      <c r="I40" s="16">
        <f t="shared" si="5"/>
        <v>3220</v>
      </c>
      <c r="L40" s="18"/>
    </row>
    <row r="41" spans="1:12" ht="18.75" customHeight="1" x14ac:dyDescent="0.25">
      <c r="A41" s="18"/>
      <c r="B41" s="18"/>
      <c r="C41" s="11">
        <v>46290</v>
      </c>
      <c r="D41" s="12">
        <v>2000</v>
      </c>
      <c r="E41" s="13">
        <v>2.54</v>
      </c>
      <c r="F41" s="14">
        <f t="shared" si="3"/>
        <v>5080</v>
      </c>
      <c r="G41" s="15" t="s">
        <v>13</v>
      </c>
      <c r="H41" s="14">
        <f t="shared" si="4"/>
        <v>0</v>
      </c>
      <c r="I41" s="16">
        <f t="shared" si="5"/>
        <v>-2000</v>
      </c>
      <c r="L41" s="18"/>
    </row>
    <row r="42" spans="1:12" ht="18.75" customHeight="1" x14ac:dyDescent="0.25">
      <c r="A42" s="18"/>
      <c r="B42" s="18"/>
      <c r="C42" s="11">
        <v>46290</v>
      </c>
      <c r="D42" s="12">
        <v>2000</v>
      </c>
      <c r="E42" s="13">
        <v>2.42</v>
      </c>
      <c r="F42" s="17">
        <f t="shared" si="3"/>
        <v>4840</v>
      </c>
      <c r="G42" s="15" t="s">
        <v>13</v>
      </c>
      <c r="H42" s="17">
        <f t="shared" si="4"/>
        <v>0</v>
      </c>
      <c r="I42" s="16">
        <f t="shared" si="5"/>
        <v>-2000</v>
      </c>
      <c r="L42" s="18"/>
    </row>
    <row r="43" spans="1:12" ht="18.75" customHeight="1" x14ac:dyDescent="0.25">
      <c r="A43" s="18"/>
      <c r="B43" s="18"/>
      <c r="C43" s="11">
        <v>46291</v>
      </c>
      <c r="D43" s="12">
        <v>2000</v>
      </c>
      <c r="E43" s="13">
        <v>2.09</v>
      </c>
      <c r="F43" s="14">
        <f t="shared" si="3"/>
        <v>4180</v>
      </c>
      <c r="G43" s="15" t="s">
        <v>12</v>
      </c>
      <c r="H43" s="14">
        <f t="shared" si="4"/>
        <v>4180</v>
      </c>
      <c r="I43" s="16">
        <f t="shared" si="5"/>
        <v>2180</v>
      </c>
      <c r="L43" s="18"/>
    </row>
    <row r="44" spans="1:12" ht="18.75" customHeight="1" x14ac:dyDescent="0.25">
      <c r="A44" s="18"/>
      <c r="B44" s="18"/>
      <c r="C44" s="11">
        <v>46292</v>
      </c>
      <c r="D44" s="12">
        <v>2000</v>
      </c>
      <c r="E44" s="13">
        <v>2.71</v>
      </c>
      <c r="F44" s="17">
        <f t="shared" si="3"/>
        <v>5420</v>
      </c>
      <c r="G44" s="15" t="s">
        <v>13</v>
      </c>
      <c r="H44" s="17">
        <f t="shared" si="4"/>
        <v>0</v>
      </c>
      <c r="I44" s="16">
        <f t="shared" si="5"/>
        <v>-2000</v>
      </c>
      <c r="L44" s="18"/>
    </row>
    <row r="45" spans="1:12" ht="18.75" customHeight="1" x14ac:dyDescent="0.25">
      <c r="A45" s="18"/>
      <c r="B45" s="18"/>
      <c r="C45" s="11">
        <v>46293</v>
      </c>
      <c r="D45" s="12">
        <v>2000</v>
      </c>
      <c r="E45" s="13">
        <v>2.2200000000000002</v>
      </c>
      <c r="F45" s="14">
        <f t="shared" si="3"/>
        <v>4440</v>
      </c>
      <c r="G45" s="15" t="s">
        <v>13</v>
      </c>
      <c r="H45" s="14">
        <f t="shared" si="4"/>
        <v>0</v>
      </c>
      <c r="I45" s="16">
        <f t="shared" si="5"/>
        <v>-2000</v>
      </c>
      <c r="L45" s="18"/>
    </row>
    <row r="46" spans="1:12" ht="18.75" customHeight="1" x14ac:dyDescent="0.25">
      <c r="A46" s="18"/>
      <c r="B46" s="18"/>
      <c r="C46" s="11">
        <v>46294</v>
      </c>
      <c r="D46" s="12">
        <v>2000</v>
      </c>
      <c r="E46" s="13">
        <v>2.1</v>
      </c>
      <c r="F46" s="17">
        <f t="shared" si="3"/>
        <v>4200</v>
      </c>
      <c r="G46" s="15" t="s">
        <v>13</v>
      </c>
      <c r="H46" s="17">
        <f t="shared" si="4"/>
        <v>0</v>
      </c>
      <c r="I46" s="16">
        <f t="shared" si="5"/>
        <v>-2000</v>
      </c>
      <c r="L46" s="18"/>
    </row>
    <row r="47" spans="1:12" ht="18.75" customHeight="1" x14ac:dyDescent="0.25">
      <c r="A47" s="18"/>
      <c r="B47" s="18"/>
      <c r="C47" s="11">
        <v>46295</v>
      </c>
      <c r="D47" s="12">
        <v>2000</v>
      </c>
      <c r="E47" s="13">
        <v>2.38</v>
      </c>
      <c r="F47" s="14">
        <f t="shared" si="3"/>
        <v>4760</v>
      </c>
      <c r="G47" s="15" t="s">
        <v>13</v>
      </c>
      <c r="H47" s="14">
        <f t="shared" si="4"/>
        <v>0</v>
      </c>
      <c r="I47" s="16">
        <f t="shared" si="5"/>
        <v>-2000</v>
      </c>
      <c r="L47" s="18"/>
    </row>
    <row r="48" spans="1:12" ht="18.75" customHeight="1" x14ac:dyDescent="0.25">
      <c r="A48" s="18"/>
      <c r="B48" s="18"/>
      <c r="C48" s="11">
        <v>46296</v>
      </c>
      <c r="D48" s="12">
        <v>2000</v>
      </c>
      <c r="E48" s="13">
        <v>1.93</v>
      </c>
      <c r="F48" s="17">
        <f t="shared" si="3"/>
        <v>3860</v>
      </c>
      <c r="G48" s="15" t="s">
        <v>12</v>
      </c>
      <c r="H48" s="17">
        <f t="shared" si="4"/>
        <v>3860</v>
      </c>
      <c r="I48" s="16">
        <f t="shared" si="5"/>
        <v>1860</v>
      </c>
      <c r="L48" s="18"/>
    </row>
    <row r="49" spans="1:12" ht="18.75" customHeight="1" x14ac:dyDescent="0.25">
      <c r="A49" s="18"/>
      <c r="B49" s="18"/>
      <c r="C49" s="11">
        <v>46297</v>
      </c>
      <c r="D49" s="12">
        <v>2000</v>
      </c>
      <c r="E49" s="13">
        <v>1.7</v>
      </c>
      <c r="F49" s="14">
        <f t="shared" si="3"/>
        <v>3400</v>
      </c>
      <c r="G49" s="15" t="s">
        <v>12</v>
      </c>
      <c r="H49" s="14">
        <f t="shared" si="4"/>
        <v>3400</v>
      </c>
      <c r="I49" s="16">
        <f t="shared" si="5"/>
        <v>1400</v>
      </c>
      <c r="L49" s="18"/>
    </row>
    <row r="50" spans="1:12" ht="18.75" customHeight="1" x14ac:dyDescent="0.25">
      <c r="A50" s="18"/>
      <c r="B50" s="18"/>
      <c r="C50" s="11">
        <v>46298</v>
      </c>
      <c r="D50" s="12">
        <v>2000</v>
      </c>
      <c r="E50" s="13">
        <v>2.31</v>
      </c>
      <c r="F50" s="17">
        <f t="shared" si="3"/>
        <v>4620</v>
      </c>
      <c r="G50" s="15" t="s">
        <v>12</v>
      </c>
      <c r="H50" s="17">
        <f t="shared" si="4"/>
        <v>4620</v>
      </c>
      <c r="I50" s="16">
        <f t="shared" si="5"/>
        <v>2620</v>
      </c>
      <c r="L50" s="18"/>
    </row>
    <row r="51" spans="1:12" ht="18.75" customHeight="1" x14ac:dyDescent="0.25">
      <c r="A51" s="18"/>
      <c r="B51" s="18"/>
      <c r="C51" s="11">
        <v>46299</v>
      </c>
      <c r="D51" s="12">
        <v>2000</v>
      </c>
      <c r="E51" s="13">
        <v>2.0299999999999998</v>
      </c>
      <c r="F51" s="14">
        <f t="shared" si="3"/>
        <v>4059.9999999999995</v>
      </c>
      <c r="G51" s="15" t="s">
        <v>12</v>
      </c>
      <c r="H51" s="14">
        <f t="shared" si="4"/>
        <v>4059.9999999999995</v>
      </c>
      <c r="I51" s="16">
        <f t="shared" si="5"/>
        <v>2059.9999999999995</v>
      </c>
      <c r="L51" s="18"/>
    </row>
    <row r="52" spans="1:12" ht="18.75" customHeight="1" x14ac:dyDescent="0.25">
      <c r="A52" s="18"/>
      <c r="B52" s="18"/>
      <c r="C52" s="11">
        <v>46300</v>
      </c>
      <c r="D52" s="12">
        <v>2000</v>
      </c>
      <c r="E52" s="13">
        <v>2.3199999999999998</v>
      </c>
      <c r="F52" s="17">
        <f t="shared" si="3"/>
        <v>4640</v>
      </c>
      <c r="G52" s="15" t="s">
        <v>12</v>
      </c>
      <c r="H52" s="17">
        <f t="shared" si="4"/>
        <v>4640</v>
      </c>
      <c r="I52" s="16">
        <f t="shared" si="5"/>
        <v>2640</v>
      </c>
      <c r="L52" s="18"/>
    </row>
    <row r="53" spans="1:12" ht="18.75" customHeight="1" x14ac:dyDescent="0.25">
      <c r="A53" s="18"/>
      <c r="B53" s="18"/>
      <c r="C53" s="11">
        <v>46301</v>
      </c>
      <c r="D53" s="12">
        <v>2000</v>
      </c>
      <c r="E53" s="13">
        <v>2.56</v>
      </c>
      <c r="F53" s="14">
        <f t="shared" si="3"/>
        <v>5120</v>
      </c>
      <c r="G53" s="15" t="s">
        <v>13</v>
      </c>
      <c r="H53" s="14">
        <f t="shared" si="4"/>
        <v>0</v>
      </c>
      <c r="I53" s="16">
        <f t="shared" si="5"/>
        <v>-2000</v>
      </c>
      <c r="L53" s="18"/>
    </row>
    <row r="54" spans="1:12" ht="18.75" customHeight="1" x14ac:dyDescent="0.25">
      <c r="A54" s="18"/>
      <c r="B54" s="18"/>
      <c r="C54" s="11">
        <v>46302</v>
      </c>
      <c r="D54" s="12">
        <v>2000</v>
      </c>
      <c r="E54" s="13">
        <v>1.75</v>
      </c>
      <c r="F54" s="17">
        <f t="shared" si="3"/>
        <v>3500</v>
      </c>
      <c r="G54" s="15" t="s">
        <v>12</v>
      </c>
      <c r="H54" s="17">
        <f t="shared" si="4"/>
        <v>3500</v>
      </c>
      <c r="I54" s="16">
        <f t="shared" si="5"/>
        <v>1500</v>
      </c>
      <c r="L54" s="18"/>
    </row>
    <row r="55" spans="1:12" ht="18.75" customHeight="1" x14ac:dyDescent="0.25">
      <c r="A55" s="18"/>
      <c r="B55" s="18"/>
      <c r="C55" s="11">
        <v>46303</v>
      </c>
      <c r="D55" s="12">
        <v>2000</v>
      </c>
      <c r="E55" s="13">
        <v>2.86</v>
      </c>
      <c r="F55" s="14">
        <f t="shared" si="3"/>
        <v>5720</v>
      </c>
      <c r="G55" s="15" t="s">
        <v>12</v>
      </c>
      <c r="H55" s="14">
        <f t="shared" si="4"/>
        <v>5720</v>
      </c>
      <c r="I55" s="16">
        <f t="shared" si="5"/>
        <v>3720</v>
      </c>
      <c r="L55" s="18"/>
    </row>
    <row r="56" spans="1:12" ht="18.75" customHeight="1" x14ac:dyDescent="0.25">
      <c r="A56" s="18"/>
      <c r="B56" s="18"/>
      <c r="C56" s="11">
        <v>46304</v>
      </c>
      <c r="D56" s="12">
        <v>2000</v>
      </c>
      <c r="E56" s="13">
        <v>2.08</v>
      </c>
      <c r="F56" s="17">
        <f t="shared" si="3"/>
        <v>4160</v>
      </c>
      <c r="G56" s="15" t="s">
        <v>12</v>
      </c>
      <c r="H56" s="17">
        <f t="shared" si="4"/>
        <v>4160</v>
      </c>
      <c r="I56" s="16">
        <f t="shared" si="5"/>
        <v>2160</v>
      </c>
      <c r="L56" s="18"/>
    </row>
    <row r="57" spans="1:12" ht="18.75" customHeight="1" x14ac:dyDescent="0.25">
      <c r="A57" s="18"/>
      <c r="B57" s="18"/>
      <c r="C57" s="11">
        <v>46305</v>
      </c>
      <c r="D57" s="12">
        <v>2000</v>
      </c>
      <c r="E57" s="13">
        <v>2.37</v>
      </c>
      <c r="F57" s="14">
        <f t="shared" si="3"/>
        <v>4740</v>
      </c>
      <c r="G57" s="15" t="s">
        <v>12</v>
      </c>
      <c r="H57" s="14">
        <f t="shared" si="4"/>
        <v>4740</v>
      </c>
      <c r="I57" s="16">
        <f t="shared" si="5"/>
        <v>2740</v>
      </c>
      <c r="L57" s="18"/>
    </row>
    <row r="58" spans="1:12" ht="18.75" customHeight="1" x14ac:dyDescent="0.25">
      <c r="A58" s="18"/>
      <c r="B58" s="18"/>
      <c r="C58" s="11">
        <v>46306</v>
      </c>
      <c r="D58" s="12">
        <v>2000</v>
      </c>
      <c r="E58" s="13">
        <v>1.92</v>
      </c>
      <c r="F58" s="17">
        <f t="shared" si="3"/>
        <v>3840</v>
      </c>
      <c r="G58" s="15" t="s">
        <v>13</v>
      </c>
      <c r="H58" s="17">
        <f t="shared" si="4"/>
        <v>0</v>
      </c>
      <c r="I58" s="16">
        <f t="shared" si="5"/>
        <v>-2000</v>
      </c>
      <c r="L58" s="18"/>
    </row>
    <row r="59" spans="1:12" ht="18.75" customHeight="1" x14ac:dyDescent="0.25">
      <c r="A59" s="18"/>
      <c r="B59" s="18"/>
      <c r="C59" s="11">
        <v>46307</v>
      </c>
      <c r="D59" s="12">
        <v>2000</v>
      </c>
      <c r="E59" s="13">
        <v>2.81</v>
      </c>
      <c r="F59" s="14">
        <f t="shared" si="3"/>
        <v>5620</v>
      </c>
      <c r="G59" s="15" t="s">
        <v>13</v>
      </c>
      <c r="H59" s="14">
        <f t="shared" si="4"/>
        <v>0</v>
      </c>
      <c r="I59" s="16">
        <f t="shared" si="5"/>
        <v>-2000</v>
      </c>
      <c r="L59" s="18"/>
    </row>
    <row r="60" spans="1:12" ht="18.75" customHeight="1" x14ac:dyDescent="0.25">
      <c r="A60" s="18"/>
      <c r="B60" s="18"/>
      <c r="C60" s="11">
        <v>46308</v>
      </c>
      <c r="D60" s="12">
        <v>2000</v>
      </c>
      <c r="E60" s="13">
        <v>2.2000000000000002</v>
      </c>
      <c r="F60" s="17">
        <f t="shared" si="3"/>
        <v>4400</v>
      </c>
      <c r="G60" s="15" t="s">
        <v>13</v>
      </c>
      <c r="H60" s="17">
        <f t="shared" si="4"/>
        <v>0</v>
      </c>
      <c r="I60" s="16">
        <f t="shared" si="5"/>
        <v>-2000</v>
      </c>
      <c r="L60" s="18"/>
    </row>
    <row r="61" spans="1:12" ht="18.75" customHeight="1" x14ac:dyDescent="0.25">
      <c r="A61" s="18"/>
      <c r="B61" s="18"/>
      <c r="C61" s="11">
        <v>46309</v>
      </c>
      <c r="D61" s="12">
        <v>2000</v>
      </c>
      <c r="E61" s="13">
        <v>2.0299999999999998</v>
      </c>
      <c r="F61" s="14">
        <f t="shared" si="3"/>
        <v>4059.9999999999995</v>
      </c>
      <c r="G61" s="15" t="s">
        <v>12</v>
      </c>
      <c r="H61" s="14">
        <f t="shared" si="4"/>
        <v>4059.9999999999995</v>
      </c>
      <c r="I61" s="16">
        <f t="shared" si="5"/>
        <v>2059.9999999999995</v>
      </c>
      <c r="L61" s="18"/>
    </row>
    <row r="62" spans="1:12" ht="18.75" customHeight="1" x14ac:dyDescent="0.25">
      <c r="A62" s="18"/>
      <c r="B62" s="18"/>
      <c r="C62" s="11">
        <v>46310</v>
      </c>
      <c r="D62" s="12">
        <v>2000</v>
      </c>
      <c r="E62" s="13">
        <v>2.04</v>
      </c>
      <c r="F62" s="17">
        <f t="shared" si="3"/>
        <v>4080</v>
      </c>
      <c r="G62" s="15" t="s">
        <v>12</v>
      </c>
      <c r="H62" s="17">
        <f t="shared" si="4"/>
        <v>4080</v>
      </c>
      <c r="I62" s="16">
        <f t="shared" si="5"/>
        <v>2080</v>
      </c>
      <c r="L62" s="18"/>
    </row>
    <row r="63" spans="1:12" ht="18.75" customHeight="1" x14ac:dyDescent="0.25">
      <c r="A63" s="18"/>
      <c r="B63" s="18"/>
      <c r="C63" s="11">
        <v>46311</v>
      </c>
      <c r="D63" s="12">
        <v>2000</v>
      </c>
      <c r="E63" s="13">
        <v>2.1</v>
      </c>
      <c r="F63" s="14">
        <f t="shared" si="3"/>
        <v>4200</v>
      </c>
      <c r="G63" s="15" t="s">
        <v>12</v>
      </c>
      <c r="H63" s="14">
        <f t="shared" si="4"/>
        <v>4200</v>
      </c>
      <c r="I63" s="16">
        <f t="shared" si="5"/>
        <v>2200</v>
      </c>
      <c r="L63" s="18"/>
    </row>
    <row r="64" spans="1:12" ht="18.75" customHeight="1" x14ac:dyDescent="0.25">
      <c r="A64" s="18"/>
      <c r="B64" s="18"/>
      <c r="C64" s="11">
        <v>46312</v>
      </c>
      <c r="D64" s="12">
        <v>2000</v>
      </c>
      <c r="E64" s="13">
        <v>1.92</v>
      </c>
      <c r="F64" s="17">
        <f t="shared" si="3"/>
        <v>3840</v>
      </c>
      <c r="G64" s="15" t="s">
        <v>13</v>
      </c>
      <c r="H64" s="17">
        <f t="shared" si="4"/>
        <v>0</v>
      </c>
      <c r="I64" s="16">
        <f t="shared" si="5"/>
        <v>-2000</v>
      </c>
      <c r="L64" s="18"/>
    </row>
    <row r="65" spans="1:12" ht="18.75" customHeight="1" x14ac:dyDescent="0.25">
      <c r="A65" s="18"/>
      <c r="B65" s="18"/>
      <c r="C65" s="11">
        <v>46313</v>
      </c>
      <c r="D65" s="12">
        <v>2000</v>
      </c>
      <c r="E65" s="13">
        <v>1.74</v>
      </c>
      <c r="F65" s="14">
        <f t="shared" si="3"/>
        <v>3480</v>
      </c>
      <c r="G65" s="15" t="s">
        <v>12</v>
      </c>
      <c r="H65" s="14">
        <f t="shared" si="4"/>
        <v>3480</v>
      </c>
      <c r="I65" s="16">
        <f t="shared" si="5"/>
        <v>1480</v>
      </c>
      <c r="L65" s="18"/>
    </row>
    <row r="66" spans="1:12" ht="18.75" customHeight="1" x14ac:dyDescent="0.25">
      <c r="A66" s="18"/>
      <c r="B66" s="18"/>
      <c r="C66" s="11">
        <v>46314</v>
      </c>
      <c r="D66" s="12">
        <v>2000</v>
      </c>
      <c r="E66" s="13">
        <v>1.94</v>
      </c>
      <c r="F66" s="17">
        <f t="shared" si="3"/>
        <v>3880</v>
      </c>
      <c r="G66" s="15" t="s">
        <v>13</v>
      </c>
      <c r="H66" s="17">
        <f t="shared" si="4"/>
        <v>0</v>
      </c>
      <c r="I66" s="16">
        <f t="shared" si="5"/>
        <v>-2000</v>
      </c>
      <c r="L66" s="18"/>
    </row>
    <row r="67" spans="1:12" ht="18.75" customHeight="1" x14ac:dyDescent="0.25">
      <c r="A67" s="18"/>
      <c r="B67" s="18"/>
      <c r="C67" s="11">
        <v>46315</v>
      </c>
      <c r="D67" s="12">
        <v>2000</v>
      </c>
      <c r="E67" s="13">
        <v>1.98</v>
      </c>
      <c r="F67" s="14">
        <f t="shared" si="3"/>
        <v>3960</v>
      </c>
      <c r="G67" s="15" t="s">
        <v>13</v>
      </c>
      <c r="H67" s="14">
        <f t="shared" si="4"/>
        <v>0</v>
      </c>
      <c r="I67" s="16">
        <f t="shared" si="5"/>
        <v>-2000</v>
      </c>
      <c r="L67" s="18"/>
    </row>
    <row r="68" spans="1:12" ht="18.75" customHeight="1" x14ac:dyDescent="0.25">
      <c r="A68" s="18"/>
      <c r="B68" s="18"/>
      <c r="C68" s="11">
        <v>46316</v>
      </c>
      <c r="D68" s="12">
        <v>2000</v>
      </c>
      <c r="E68" s="13">
        <v>2.2999999999999998</v>
      </c>
      <c r="F68" s="17">
        <f t="shared" si="3"/>
        <v>4600</v>
      </c>
      <c r="G68" s="15" t="s">
        <v>12</v>
      </c>
      <c r="H68" s="17">
        <f t="shared" si="4"/>
        <v>4600</v>
      </c>
      <c r="I68" s="16">
        <f t="shared" si="5"/>
        <v>2600</v>
      </c>
      <c r="L68" s="18"/>
    </row>
    <row r="69" spans="1:12" ht="18.75" customHeight="1" x14ac:dyDescent="0.25">
      <c r="A69" s="18"/>
      <c r="B69" s="18"/>
      <c r="C69" s="11">
        <v>46317</v>
      </c>
      <c r="D69" s="12">
        <v>2000</v>
      </c>
      <c r="E69" s="13">
        <v>2.2599999999999998</v>
      </c>
      <c r="F69" s="14">
        <f t="shared" si="3"/>
        <v>4520</v>
      </c>
      <c r="G69" s="15" t="s">
        <v>13</v>
      </c>
      <c r="H69" s="14">
        <f t="shared" si="4"/>
        <v>0</v>
      </c>
      <c r="I69" s="16">
        <f t="shared" si="5"/>
        <v>-2000</v>
      </c>
      <c r="L69" s="18"/>
    </row>
    <row r="70" spans="1:12" ht="18.75" customHeight="1" x14ac:dyDescent="0.25">
      <c r="A70" s="18"/>
      <c r="B70" s="18"/>
      <c r="C70" s="11">
        <v>46318</v>
      </c>
      <c r="D70" s="12">
        <v>2000</v>
      </c>
      <c r="E70" s="13">
        <v>2.1800000000000002</v>
      </c>
      <c r="F70" s="17">
        <f t="shared" si="3"/>
        <v>4360</v>
      </c>
      <c r="G70" s="15" t="s">
        <v>13</v>
      </c>
      <c r="H70" s="17">
        <f t="shared" si="4"/>
        <v>0</v>
      </c>
      <c r="I70" s="16">
        <f t="shared" si="5"/>
        <v>-2000</v>
      </c>
      <c r="L70" s="18"/>
    </row>
    <row r="71" spans="1:12" ht="18.75" customHeight="1" x14ac:dyDescent="0.25">
      <c r="A71" s="18"/>
      <c r="B71" s="18"/>
      <c r="C71" s="11">
        <v>46319</v>
      </c>
      <c r="D71" s="12">
        <v>2000</v>
      </c>
      <c r="E71" s="13">
        <v>2.69</v>
      </c>
      <c r="F71" s="14">
        <f t="shared" ref="F71:F102" si="6">IF(OR(E71="",D71=""),"",E71*D71)</f>
        <v>5380</v>
      </c>
      <c r="G71" s="15" t="s">
        <v>13</v>
      </c>
      <c r="H71" s="14">
        <f t="shared" ref="H71:H102" si="7">IF(G71="Nyert",F71,0)</f>
        <v>0</v>
      </c>
      <c r="I71" s="16">
        <f t="shared" ref="I71:I102" si="8">IF(G71="Nyert",H71-D71,IF(G71="Veszített",-D71,0))</f>
        <v>-2000</v>
      </c>
      <c r="L71" s="18"/>
    </row>
    <row r="72" spans="1:12" ht="18.75" customHeight="1" x14ac:dyDescent="0.25">
      <c r="A72" s="18"/>
      <c r="B72" s="18"/>
      <c r="C72" s="11">
        <v>46320</v>
      </c>
      <c r="D72" s="12">
        <v>2000</v>
      </c>
      <c r="E72" s="13">
        <v>2.11</v>
      </c>
      <c r="F72" s="17">
        <f t="shared" si="6"/>
        <v>4220</v>
      </c>
      <c r="G72" s="15" t="s">
        <v>12</v>
      </c>
      <c r="H72" s="17">
        <f t="shared" si="7"/>
        <v>4220</v>
      </c>
      <c r="I72" s="16">
        <f t="shared" si="8"/>
        <v>2220</v>
      </c>
      <c r="L72" s="18"/>
    </row>
    <row r="73" spans="1:12" ht="18.75" customHeight="1" x14ac:dyDescent="0.25">
      <c r="A73" s="18"/>
      <c r="B73" s="18"/>
      <c r="C73" s="11">
        <v>46321</v>
      </c>
      <c r="D73" s="12">
        <v>2000</v>
      </c>
      <c r="E73" s="13">
        <v>2.59</v>
      </c>
      <c r="F73" s="14">
        <f t="shared" si="6"/>
        <v>5180</v>
      </c>
      <c r="G73" s="15"/>
      <c r="H73" s="14">
        <f t="shared" si="7"/>
        <v>0</v>
      </c>
      <c r="I73" s="16">
        <f t="shared" si="8"/>
        <v>0</v>
      </c>
      <c r="L73" s="18"/>
    </row>
    <row r="74" spans="1:12" ht="18.75" customHeight="1" x14ac:dyDescent="0.25">
      <c r="A74" s="18"/>
      <c r="B74" s="18"/>
      <c r="C74" s="11"/>
      <c r="D74" s="12"/>
      <c r="E74" s="13"/>
      <c r="F74" s="17" t="str">
        <f t="shared" si="6"/>
        <v/>
      </c>
      <c r="G74" s="15"/>
      <c r="H74" s="17">
        <f t="shared" si="7"/>
        <v>0</v>
      </c>
      <c r="I74" s="16">
        <f t="shared" si="8"/>
        <v>0</v>
      </c>
      <c r="L74" s="18"/>
    </row>
    <row r="75" spans="1:12" ht="18.75" customHeight="1" x14ac:dyDescent="0.25">
      <c r="A75" s="18"/>
      <c r="B75" s="18"/>
      <c r="C75" s="11"/>
      <c r="D75" s="12"/>
      <c r="E75" s="13"/>
      <c r="F75" s="14" t="str">
        <f t="shared" si="6"/>
        <v/>
      </c>
      <c r="G75" s="15"/>
      <c r="H75" s="14">
        <f t="shared" si="7"/>
        <v>0</v>
      </c>
      <c r="I75" s="16">
        <f t="shared" si="8"/>
        <v>0</v>
      </c>
      <c r="L75" s="18"/>
    </row>
    <row r="76" spans="1:12" ht="18.75" customHeight="1" x14ac:dyDescent="0.25">
      <c r="A76" s="18"/>
      <c r="B76" s="18"/>
      <c r="C76" s="11"/>
      <c r="D76" s="12"/>
      <c r="E76" s="13"/>
      <c r="F76" s="17" t="str">
        <f t="shared" si="6"/>
        <v/>
      </c>
      <c r="G76" s="15"/>
      <c r="H76" s="17">
        <f t="shared" si="7"/>
        <v>0</v>
      </c>
      <c r="I76" s="16">
        <f t="shared" si="8"/>
        <v>0</v>
      </c>
      <c r="L76" s="18"/>
    </row>
    <row r="77" spans="1:12" ht="18.75" customHeight="1" x14ac:dyDescent="0.25">
      <c r="A77" s="18"/>
      <c r="B77" s="18"/>
      <c r="C77" s="11"/>
      <c r="D77" s="12"/>
      <c r="E77" s="13"/>
      <c r="F77" s="14" t="str">
        <f t="shared" si="6"/>
        <v/>
      </c>
      <c r="G77" s="15"/>
      <c r="H77" s="14">
        <f t="shared" si="7"/>
        <v>0</v>
      </c>
      <c r="I77" s="16">
        <f t="shared" si="8"/>
        <v>0</v>
      </c>
      <c r="L77" s="18"/>
    </row>
    <row r="78" spans="1:12" ht="18.75" customHeight="1" x14ac:dyDescent="0.25">
      <c r="A78" s="18"/>
      <c r="B78" s="18"/>
      <c r="C78" s="11"/>
      <c r="D78" s="12"/>
      <c r="E78" s="13"/>
      <c r="F78" s="17" t="str">
        <f t="shared" si="6"/>
        <v/>
      </c>
      <c r="G78" s="15"/>
      <c r="H78" s="17">
        <f t="shared" si="7"/>
        <v>0</v>
      </c>
      <c r="I78" s="16">
        <f t="shared" si="8"/>
        <v>0</v>
      </c>
      <c r="L78" s="18"/>
    </row>
    <row r="79" spans="1:12" ht="18.75" customHeight="1" x14ac:dyDescent="0.25">
      <c r="A79" s="18"/>
      <c r="B79" s="18"/>
      <c r="C79" s="11"/>
      <c r="D79" s="12"/>
      <c r="E79" s="13"/>
      <c r="F79" s="14" t="str">
        <f t="shared" si="6"/>
        <v/>
      </c>
      <c r="G79" s="15"/>
      <c r="H79" s="14">
        <f t="shared" si="7"/>
        <v>0</v>
      </c>
      <c r="I79" s="16">
        <f t="shared" si="8"/>
        <v>0</v>
      </c>
      <c r="L79" s="18"/>
    </row>
    <row r="80" spans="1:12" ht="18.75" customHeight="1" x14ac:dyDescent="0.25">
      <c r="A80" s="18"/>
      <c r="B80" s="18"/>
      <c r="C80" s="11"/>
      <c r="D80" s="12"/>
      <c r="E80" s="13"/>
      <c r="F80" s="17" t="str">
        <f t="shared" si="6"/>
        <v/>
      </c>
      <c r="G80" s="15"/>
      <c r="H80" s="17">
        <f t="shared" si="7"/>
        <v>0</v>
      </c>
      <c r="I80" s="16">
        <f t="shared" si="8"/>
        <v>0</v>
      </c>
      <c r="L80" s="18"/>
    </row>
    <row r="81" spans="1:12" ht="18.75" customHeight="1" x14ac:dyDescent="0.25">
      <c r="A81" s="18"/>
      <c r="B81" s="18"/>
      <c r="C81" s="11"/>
      <c r="D81" s="12"/>
      <c r="E81" s="13"/>
      <c r="F81" s="14" t="str">
        <f t="shared" si="6"/>
        <v/>
      </c>
      <c r="G81" s="15"/>
      <c r="H81" s="14">
        <f t="shared" si="7"/>
        <v>0</v>
      </c>
      <c r="I81" s="16">
        <f t="shared" si="8"/>
        <v>0</v>
      </c>
      <c r="L81" s="18"/>
    </row>
    <row r="82" spans="1:12" ht="18.75" customHeight="1" x14ac:dyDescent="0.25">
      <c r="A82" s="18"/>
      <c r="B82" s="18"/>
      <c r="C82" s="11"/>
      <c r="D82" s="12"/>
      <c r="E82" s="13"/>
      <c r="F82" s="17" t="str">
        <f t="shared" si="6"/>
        <v/>
      </c>
      <c r="G82" s="15"/>
      <c r="H82" s="17">
        <f t="shared" si="7"/>
        <v>0</v>
      </c>
      <c r="I82" s="16">
        <f t="shared" si="8"/>
        <v>0</v>
      </c>
      <c r="L82" s="18"/>
    </row>
    <row r="83" spans="1:12" ht="18.75" customHeight="1" x14ac:dyDescent="0.25">
      <c r="A83" s="18"/>
      <c r="B83" s="18"/>
      <c r="C83" s="11"/>
      <c r="D83" s="12"/>
      <c r="E83" s="13"/>
      <c r="F83" s="14" t="str">
        <f t="shared" si="6"/>
        <v/>
      </c>
      <c r="G83" s="15"/>
      <c r="H83" s="14">
        <f t="shared" si="7"/>
        <v>0</v>
      </c>
      <c r="I83" s="16">
        <f t="shared" si="8"/>
        <v>0</v>
      </c>
      <c r="L83" s="18"/>
    </row>
    <row r="84" spans="1:12" ht="18.75" customHeight="1" x14ac:dyDescent="0.25">
      <c r="A84" s="18"/>
      <c r="B84" s="18"/>
      <c r="C84" s="11"/>
      <c r="D84" s="12"/>
      <c r="E84" s="13"/>
      <c r="F84" s="17" t="str">
        <f t="shared" si="6"/>
        <v/>
      </c>
      <c r="G84" s="15"/>
      <c r="H84" s="17">
        <f t="shared" si="7"/>
        <v>0</v>
      </c>
      <c r="I84" s="16">
        <f t="shared" si="8"/>
        <v>0</v>
      </c>
      <c r="L84" s="18"/>
    </row>
    <row r="85" spans="1:12" ht="18.75" customHeight="1" x14ac:dyDescent="0.25">
      <c r="A85" s="18"/>
      <c r="B85" s="18"/>
      <c r="C85" s="11"/>
      <c r="D85" s="12"/>
      <c r="E85" s="13"/>
      <c r="F85" s="14" t="str">
        <f t="shared" si="6"/>
        <v/>
      </c>
      <c r="G85" s="15"/>
      <c r="H85" s="14">
        <f t="shared" si="7"/>
        <v>0</v>
      </c>
      <c r="I85" s="16">
        <f t="shared" si="8"/>
        <v>0</v>
      </c>
      <c r="L85" s="18"/>
    </row>
    <row r="86" spans="1:12" ht="18.75" customHeight="1" x14ac:dyDescent="0.25">
      <c r="A86" s="18"/>
      <c r="B86" s="18"/>
      <c r="C86" s="11"/>
      <c r="D86" s="12"/>
      <c r="E86" s="13"/>
      <c r="F86" s="17" t="str">
        <f t="shared" si="6"/>
        <v/>
      </c>
      <c r="G86" s="15"/>
      <c r="H86" s="17">
        <f t="shared" si="7"/>
        <v>0</v>
      </c>
      <c r="I86" s="16">
        <f t="shared" si="8"/>
        <v>0</v>
      </c>
      <c r="L86" s="18"/>
    </row>
    <row r="87" spans="1:12" ht="18.75" customHeight="1" x14ac:dyDescent="0.25">
      <c r="A87" s="18"/>
      <c r="B87" s="18"/>
      <c r="C87" s="11"/>
      <c r="D87" s="12"/>
      <c r="E87" s="13"/>
      <c r="F87" s="14" t="str">
        <f t="shared" si="6"/>
        <v/>
      </c>
      <c r="G87" s="15"/>
      <c r="H87" s="14">
        <f t="shared" si="7"/>
        <v>0</v>
      </c>
      <c r="I87" s="16">
        <f t="shared" si="8"/>
        <v>0</v>
      </c>
      <c r="L87" s="18"/>
    </row>
    <row r="88" spans="1:12" ht="18.75" customHeight="1" x14ac:dyDescent="0.25">
      <c r="A88" s="18"/>
      <c r="B88" s="18"/>
      <c r="C88" s="11"/>
      <c r="D88" s="12"/>
      <c r="E88" s="13"/>
      <c r="F88" s="17" t="str">
        <f t="shared" si="6"/>
        <v/>
      </c>
      <c r="G88" s="15"/>
      <c r="H88" s="17">
        <f t="shared" si="7"/>
        <v>0</v>
      </c>
      <c r="I88" s="16">
        <f t="shared" si="8"/>
        <v>0</v>
      </c>
      <c r="L88" s="18"/>
    </row>
    <row r="89" spans="1:12" ht="18.75" customHeight="1" x14ac:dyDescent="0.25">
      <c r="A89" s="18"/>
      <c r="B89" s="18"/>
      <c r="C89" s="11"/>
      <c r="D89" s="12"/>
      <c r="E89" s="13"/>
      <c r="F89" s="14" t="str">
        <f t="shared" si="6"/>
        <v/>
      </c>
      <c r="G89" s="15"/>
      <c r="H89" s="14">
        <f t="shared" si="7"/>
        <v>0</v>
      </c>
      <c r="I89" s="16">
        <f t="shared" si="8"/>
        <v>0</v>
      </c>
      <c r="L89" s="18"/>
    </row>
    <row r="90" spans="1:12" ht="18.75" customHeight="1" x14ac:dyDescent="0.25">
      <c r="A90" s="18"/>
      <c r="B90" s="18"/>
      <c r="C90" s="11"/>
      <c r="D90" s="12"/>
      <c r="E90" s="13"/>
      <c r="F90" s="17" t="str">
        <f t="shared" si="6"/>
        <v/>
      </c>
      <c r="G90" s="15"/>
      <c r="H90" s="17">
        <f t="shared" si="7"/>
        <v>0</v>
      </c>
      <c r="I90" s="16">
        <f t="shared" si="8"/>
        <v>0</v>
      </c>
      <c r="L90" s="18"/>
    </row>
    <row r="91" spans="1:12" ht="18.75" customHeight="1" x14ac:dyDescent="0.25">
      <c r="A91" s="18"/>
      <c r="B91" s="18"/>
      <c r="C91" s="11"/>
      <c r="D91" s="12"/>
      <c r="E91" s="13"/>
      <c r="F91" s="14" t="str">
        <f t="shared" si="6"/>
        <v/>
      </c>
      <c r="G91" s="15"/>
      <c r="H91" s="14">
        <f t="shared" si="7"/>
        <v>0</v>
      </c>
      <c r="I91" s="16">
        <f t="shared" si="8"/>
        <v>0</v>
      </c>
      <c r="L91" s="18"/>
    </row>
    <row r="92" spans="1:12" ht="18.75" customHeight="1" x14ac:dyDescent="0.25">
      <c r="A92" s="18"/>
      <c r="B92" s="18"/>
      <c r="C92" s="11"/>
      <c r="D92" s="12"/>
      <c r="E92" s="13"/>
      <c r="F92" s="17" t="str">
        <f t="shared" si="6"/>
        <v/>
      </c>
      <c r="G92" s="15"/>
      <c r="H92" s="17">
        <f t="shared" si="7"/>
        <v>0</v>
      </c>
      <c r="I92" s="16">
        <f t="shared" si="8"/>
        <v>0</v>
      </c>
      <c r="L92" s="18"/>
    </row>
    <row r="93" spans="1:12" ht="18.75" customHeight="1" x14ac:dyDescent="0.25">
      <c r="A93" s="18"/>
      <c r="B93" s="18"/>
      <c r="C93" s="11"/>
      <c r="D93" s="12"/>
      <c r="E93" s="13"/>
      <c r="F93" s="14" t="str">
        <f t="shared" si="6"/>
        <v/>
      </c>
      <c r="G93" s="15"/>
      <c r="H93" s="14">
        <f t="shared" si="7"/>
        <v>0</v>
      </c>
      <c r="I93" s="16">
        <f t="shared" si="8"/>
        <v>0</v>
      </c>
      <c r="L93" s="18"/>
    </row>
    <row r="94" spans="1:12" ht="18.75" customHeight="1" x14ac:dyDescent="0.25">
      <c r="A94" s="18"/>
      <c r="B94" s="18"/>
      <c r="C94" s="11"/>
      <c r="D94" s="12"/>
      <c r="E94" s="13"/>
      <c r="F94" s="17" t="str">
        <f t="shared" si="6"/>
        <v/>
      </c>
      <c r="G94" s="15"/>
      <c r="H94" s="17">
        <f t="shared" si="7"/>
        <v>0</v>
      </c>
      <c r="I94" s="16">
        <f t="shared" si="8"/>
        <v>0</v>
      </c>
      <c r="L94" s="18"/>
    </row>
    <row r="95" spans="1:12" ht="18.75" customHeight="1" x14ac:dyDescent="0.25">
      <c r="A95" s="18"/>
      <c r="B95" s="18"/>
      <c r="C95" s="11"/>
      <c r="D95" s="12"/>
      <c r="E95" s="13"/>
      <c r="F95" s="14" t="str">
        <f t="shared" si="6"/>
        <v/>
      </c>
      <c r="G95" s="15"/>
      <c r="H95" s="14">
        <f t="shared" si="7"/>
        <v>0</v>
      </c>
      <c r="I95" s="16">
        <f t="shared" si="8"/>
        <v>0</v>
      </c>
      <c r="L95" s="18"/>
    </row>
    <row r="96" spans="1:12" ht="18.75" customHeight="1" x14ac:dyDescent="0.25">
      <c r="A96" s="18"/>
      <c r="B96" s="18"/>
      <c r="C96" s="11"/>
      <c r="D96" s="12"/>
      <c r="E96" s="13"/>
      <c r="F96" s="17" t="str">
        <f t="shared" si="6"/>
        <v/>
      </c>
      <c r="G96" s="15"/>
      <c r="H96" s="17">
        <f t="shared" si="7"/>
        <v>0</v>
      </c>
      <c r="I96" s="16">
        <f t="shared" si="8"/>
        <v>0</v>
      </c>
      <c r="L96" s="18"/>
    </row>
    <row r="97" spans="1:12" ht="18.75" customHeight="1" x14ac:dyDescent="0.25">
      <c r="A97" s="18"/>
      <c r="B97" s="18"/>
      <c r="C97" s="11"/>
      <c r="D97" s="12"/>
      <c r="E97" s="13"/>
      <c r="F97" s="14" t="str">
        <f t="shared" si="6"/>
        <v/>
      </c>
      <c r="G97" s="15"/>
      <c r="H97" s="14">
        <f t="shared" si="7"/>
        <v>0</v>
      </c>
      <c r="I97" s="16">
        <f t="shared" si="8"/>
        <v>0</v>
      </c>
      <c r="L97" s="18"/>
    </row>
    <row r="98" spans="1:12" ht="18.75" customHeight="1" x14ac:dyDescent="0.25">
      <c r="A98" s="18"/>
      <c r="B98" s="18"/>
      <c r="C98" s="11"/>
      <c r="D98" s="12"/>
      <c r="E98" s="13"/>
      <c r="F98" s="17" t="str">
        <f t="shared" si="6"/>
        <v/>
      </c>
      <c r="G98" s="15"/>
      <c r="H98" s="17">
        <f t="shared" si="7"/>
        <v>0</v>
      </c>
      <c r="I98" s="16">
        <f t="shared" si="8"/>
        <v>0</v>
      </c>
      <c r="L98" s="18"/>
    </row>
    <row r="99" spans="1:12" ht="18.75" customHeight="1" x14ac:dyDescent="0.25">
      <c r="A99" s="18"/>
      <c r="B99" s="18"/>
      <c r="C99" s="11"/>
      <c r="D99" s="12"/>
      <c r="E99" s="13"/>
      <c r="F99" s="14" t="str">
        <f t="shared" si="6"/>
        <v/>
      </c>
      <c r="G99" s="15"/>
      <c r="H99" s="14">
        <f t="shared" si="7"/>
        <v>0</v>
      </c>
      <c r="I99" s="16">
        <f t="shared" si="8"/>
        <v>0</v>
      </c>
      <c r="L99" s="18"/>
    </row>
    <row r="100" spans="1:12" ht="18.75" customHeight="1" x14ac:dyDescent="0.25">
      <c r="A100" s="18"/>
      <c r="B100" s="18"/>
      <c r="C100" s="11"/>
      <c r="D100" s="12"/>
      <c r="E100" s="13"/>
      <c r="F100" s="17" t="str">
        <f t="shared" si="6"/>
        <v/>
      </c>
      <c r="G100" s="15"/>
      <c r="H100" s="17">
        <f t="shared" si="7"/>
        <v>0</v>
      </c>
      <c r="I100" s="16">
        <f t="shared" si="8"/>
        <v>0</v>
      </c>
      <c r="L100" s="18"/>
    </row>
    <row r="101" spans="1:12" ht="18.75" customHeight="1" x14ac:dyDescent="0.25">
      <c r="A101" s="18"/>
      <c r="B101" s="18"/>
      <c r="C101" s="11"/>
      <c r="D101" s="12"/>
      <c r="E101" s="13"/>
      <c r="F101" s="14" t="str">
        <f t="shared" si="6"/>
        <v/>
      </c>
      <c r="G101" s="15"/>
      <c r="H101" s="14">
        <f t="shared" si="7"/>
        <v>0</v>
      </c>
      <c r="I101" s="16">
        <f t="shared" si="8"/>
        <v>0</v>
      </c>
      <c r="L101" s="18"/>
    </row>
    <row r="102" spans="1:12" ht="18.75" customHeight="1" x14ac:dyDescent="0.25">
      <c r="A102" s="18"/>
      <c r="B102" s="18"/>
      <c r="C102" s="11"/>
      <c r="D102" s="12"/>
      <c r="E102" s="13"/>
      <c r="F102" s="17" t="str">
        <f t="shared" si="6"/>
        <v/>
      </c>
      <c r="G102" s="15"/>
      <c r="H102" s="17">
        <f t="shared" si="7"/>
        <v>0</v>
      </c>
      <c r="I102" s="16">
        <f t="shared" si="8"/>
        <v>0</v>
      </c>
      <c r="L102" s="18"/>
    </row>
    <row r="103" spans="1:12" ht="18.75" customHeight="1" x14ac:dyDescent="0.25">
      <c r="A103" s="18"/>
      <c r="B103" s="18"/>
      <c r="C103" s="11"/>
      <c r="D103" s="12"/>
      <c r="E103" s="13"/>
      <c r="F103" s="14" t="str">
        <f t="shared" ref="F103:F133" si="9">IF(OR(E103="",D103=""),"",E103*D103)</f>
        <v/>
      </c>
      <c r="G103" s="15"/>
      <c r="H103" s="14">
        <f t="shared" ref="H103:H133" si="10">IF(G103="Nyert",F103,0)</f>
        <v>0</v>
      </c>
      <c r="I103" s="16">
        <f t="shared" ref="I103:I133" si="11">IF(G103="Nyert",H103-D103,IF(G103="Veszített",-D103,0))</f>
        <v>0</v>
      </c>
      <c r="L103" s="18"/>
    </row>
    <row r="104" spans="1:12" ht="18.75" customHeight="1" x14ac:dyDescent="0.25">
      <c r="A104" s="18"/>
      <c r="B104" s="18"/>
      <c r="C104" s="11"/>
      <c r="D104" s="12"/>
      <c r="E104" s="13"/>
      <c r="F104" s="17" t="str">
        <f t="shared" si="9"/>
        <v/>
      </c>
      <c r="G104" s="15"/>
      <c r="H104" s="17">
        <f t="shared" si="10"/>
        <v>0</v>
      </c>
      <c r="I104" s="16">
        <f t="shared" si="11"/>
        <v>0</v>
      </c>
      <c r="L104" s="18"/>
    </row>
    <row r="105" spans="1:12" ht="18.75" customHeight="1" x14ac:dyDescent="0.25">
      <c r="A105" s="18"/>
      <c r="B105" s="18"/>
      <c r="C105" s="11"/>
      <c r="D105" s="12"/>
      <c r="E105" s="13"/>
      <c r="F105" s="14" t="str">
        <f t="shared" si="9"/>
        <v/>
      </c>
      <c r="G105" s="15"/>
      <c r="H105" s="14">
        <f t="shared" si="10"/>
        <v>0</v>
      </c>
      <c r="I105" s="16">
        <f t="shared" si="11"/>
        <v>0</v>
      </c>
      <c r="L105" s="18"/>
    </row>
    <row r="106" spans="1:12" ht="18.75" customHeight="1" x14ac:dyDescent="0.25">
      <c r="A106" s="18"/>
      <c r="B106" s="18"/>
      <c r="C106" s="11"/>
      <c r="D106" s="12"/>
      <c r="E106" s="13"/>
      <c r="F106" s="17" t="str">
        <f t="shared" si="9"/>
        <v/>
      </c>
      <c r="G106" s="15"/>
      <c r="H106" s="17">
        <f t="shared" si="10"/>
        <v>0</v>
      </c>
      <c r="I106" s="16">
        <f t="shared" si="11"/>
        <v>0</v>
      </c>
      <c r="L106" s="18"/>
    </row>
    <row r="107" spans="1:12" ht="18.75" customHeight="1" x14ac:dyDescent="0.25">
      <c r="A107" s="18"/>
      <c r="B107" s="18"/>
      <c r="C107" s="11"/>
      <c r="D107" s="12"/>
      <c r="E107" s="13"/>
      <c r="F107" s="14" t="str">
        <f t="shared" si="9"/>
        <v/>
      </c>
      <c r="G107" s="15"/>
      <c r="H107" s="14">
        <f t="shared" si="10"/>
        <v>0</v>
      </c>
      <c r="I107" s="16">
        <f t="shared" si="11"/>
        <v>0</v>
      </c>
      <c r="L107" s="18"/>
    </row>
    <row r="108" spans="1:12" ht="18.75" customHeight="1" x14ac:dyDescent="0.25">
      <c r="A108" s="18"/>
      <c r="B108" s="18"/>
      <c r="C108" s="11"/>
      <c r="D108" s="12"/>
      <c r="E108" s="13"/>
      <c r="F108" s="17" t="str">
        <f t="shared" si="9"/>
        <v/>
      </c>
      <c r="G108" s="15"/>
      <c r="H108" s="17">
        <f t="shared" si="10"/>
        <v>0</v>
      </c>
      <c r="I108" s="16">
        <f t="shared" si="11"/>
        <v>0</v>
      </c>
      <c r="L108" s="18"/>
    </row>
    <row r="109" spans="1:12" ht="18.75" customHeight="1" x14ac:dyDescent="0.25">
      <c r="A109" s="18"/>
      <c r="B109" s="18"/>
      <c r="C109" s="11"/>
      <c r="D109" s="12"/>
      <c r="E109" s="13"/>
      <c r="F109" s="14" t="str">
        <f t="shared" si="9"/>
        <v/>
      </c>
      <c r="G109" s="15"/>
      <c r="H109" s="14">
        <f t="shared" si="10"/>
        <v>0</v>
      </c>
      <c r="I109" s="16">
        <f t="shared" si="11"/>
        <v>0</v>
      </c>
      <c r="L109" s="18"/>
    </row>
    <row r="110" spans="1:12" ht="18.75" customHeight="1" x14ac:dyDescent="0.25">
      <c r="A110" s="18"/>
      <c r="B110" s="18"/>
      <c r="C110" s="11"/>
      <c r="D110" s="12"/>
      <c r="E110" s="13"/>
      <c r="F110" s="17" t="str">
        <f t="shared" si="9"/>
        <v/>
      </c>
      <c r="G110" s="15"/>
      <c r="H110" s="17">
        <f t="shared" si="10"/>
        <v>0</v>
      </c>
      <c r="I110" s="16">
        <f t="shared" si="11"/>
        <v>0</v>
      </c>
      <c r="L110" s="18"/>
    </row>
    <row r="111" spans="1:12" ht="18.75" customHeight="1" x14ac:dyDescent="0.25">
      <c r="A111" s="18"/>
      <c r="B111" s="18"/>
      <c r="C111" s="11"/>
      <c r="D111" s="12"/>
      <c r="E111" s="13"/>
      <c r="F111" s="14" t="str">
        <f t="shared" si="9"/>
        <v/>
      </c>
      <c r="G111" s="15"/>
      <c r="H111" s="14">
        <f t="shared" si="10"/>
        <v>0</v>
      </c>
      <c r="I111" s="16">
        <f t="shared" si="11"/>
        <v>0</v>
      </c>
      <c r="L111" s="18"/>
    </row>
    <row r="112" spans="1:12" ht="18.75" customHeight="1" x14ac:dyDescent="0.25">
      <c r="A112" s="18"/>
      <c r="B112" s="18"/>
      <c r="C112" s="11"/>
      <c r="D112" s="12"/>
      <c r="E112" s="13"/>
      <c r="F112" s="17" t="str">
        <f t="shared" si="9"/>
        <v/>
      </c>
      <c r="G112" s="15"/>
      <c r="H112" s="17">
        <f t="shared" si="10"/>
        <v>0</v>
      </c>
      <c r="I112" s="16">
        <f t="shared" si="11"/>
        <v>0</v>
      </c>
      <c r="L112" s="18"/>
    </row>
    <row r="113" spans="1:12" ht="18.75" customHeight="1" x14ac:dyDescent="0.25">
      <c r="A113" s="18"/>
      <c r="B113" s="18"/>
      <c r="C113" s="11"/>
      <c r="D113" s="12"/>
      <c r="E113" s="13"/>
      <c r="F113" s="14" t="str">
        <f t="shared" si="9"/>
        <v/>
      </c>
      <c r="G113" s="15"/>
      <c r="H113" s="14">
        <f t="shared" si="10"/>
        <v>0</v>
      </c>
      <c r="I113" s="16">
        <f t="shared" si="11"/>
        <v>0</v>
      </c>
      <c r="L113" s="18"/>
    </row>
    <row r="114" spans="1:12" ht="18.75" customHeight="1" x14ac:dyDescent="0.25">
      <c r="A114" s="18"/>
      <c r="B114" s="18"/>
      <c r="C114" s="11"/>
      <c r="D114" s="12"/>
      <c r="E114" s="13"/>
      <c r="F114" s="17" t="str">
        <f t="shared" si="9"/>
        <v/>
      </c>
      <c r="G114" s="15"/>
      <c r="H114" s="17">
        <f t="shared" si="10"/>
        <v>0</v>
      </c>
      <c r="I114" s="16">
        <f t="shared" si="11"/>
        <v>0</v>
      </c>
      <c r="L114" s="18"/>
    </row>
    <row r="115" spans="1:12" ht="18.75" customHeight="1" x14ac:dyDescent="0.25">
      <c r="A115" s="18"/>
      <c r="B115" s="18"/>
      <c r="C115" s="11"/>
      <c r="D115" s="12"/>
      <c r="E115" s="13"/>
      <c r="F115" s="14" t="str">
        <f t="shared" si="9"/>
        <v/>
      </c>
      <c r="G115" s="15"/>
      <c r="H115" s="14">
        <f t="shared" si="10"/>
        <v>0</v>
      </c>
      <c r="I115" s="16">
        <f t="shared" si="11"/>
        <v>0</v>
      </c>
      <c r="L115" s="18"/>
    </row>
    <row r="116" spans="1:12" ht="18.75" customHeight="1" x14ac:dyDescent="0.25">
      <c r="A116" s="18"/>
      <c r="B116" s="18"/>
      <c r="C116" s="11"/>
      <c r="D116" s="12"/>
      <c r="E116" s="13"/>
      <c r="F116" s="17" t="str">
        <f t="shared" si="9"/>
        <v/>
      </c>
      <c r="G116" s="15"/>
      <c r="H116" s="17">
        <f t="shared" si="10"/>
        <v>0</v>
      </c>
      <c r="I116" s="16">
        <f t="shared" si="11"/>
        <v>0</v>
      </c>
      <c r="L116" s="18"/>
    </row>
    <row r="117" spans="1:12" ht="18.75" customHeight="1" x14ac:dyDescent="0.25">
      <c r="A117" s="18"/>
      <c r="B117" s="18"/>
      <c r="C117" s="11"/>
      <c r="D117" s="12"/>
      <c r="E117" s="13"/>
      <c r="F117" s="14" t="str">
        <f t="shared" si="9"/>
        <v/>
      </c>
      <c r="G117" s="15"/>
      <c r="H117" s="14">
        <f t="shared" si="10"/>
        <v>0</v>
      </c>
      <c r="I117" s="16">
        <f t="shared" si="11"/>
        <v>0</v>
      </c>
      <c r="L117" s="18"/>
    </row>
    <row r="118" spans="1:12" ht="18.75" customHeight="1" x14ac:dyDescent="0.25">
      <c r="A118" s="18"/>
      <c r="B118" s="18"/>
      <c r="C118" s="11"/>
      <c r="D118" s="12"/>
      <c r="E118" s="13"/>
      <c r="F118" s="17" t="str">
        <f t="shared" si="9"/>
        <v/>
      </c>
      <c r="G118" s="15"/>
      <c r="H118" s="17">
        <f t="shared" si="10"/>
        <v>0</v>
      </c>
      <c r="I118" s="16">
        <f t="shared" si="11"/>
        <v>0</v>
      </c>
      <c r="L118" s="18"/>
    </row>
    <row r="119" spans="1:12" ht="18.75" customHeight="1" x14ac:dyDescent="0.25">
      <c r="A119" s="18"/>
      <c r="B119" s="18"/>
      <c r="C119" s="11"/>
      <c r="D119" s="12"/>
      <c r="E119" s="13"/>
      <c r="F119" s="14" t="str">
        <f t="shared" si="9"/>
        <v/>
      </c>
      <c r="G119" s="15"/>
      <c r="H119" s="14">
        <f t="shared" si="10"/>
        <v>0</v>
      </c>
      <c r="I119" s="16">
        <f t="shared" si="11"/>
        <v>0</v>
      </c>
      <c r="L119" s="18"/>
    </row>
    <row r="120" spans="1:12" ht="18.75" customHeight="1" x14ac:dyDescent="0.25">
      <c r="A120" s="18"/>
      <c r="B120" s="18"/>
      <c r="C120" s="11"/>
      <c r="D120" s="12"/>
      <c r="E120" s="13"/>
      <c r="F120" s="17" t="str">
        <f t="shared" si="9"/>
        <v/>
      </c>
      <c r="G120" s="15"/>
      <c r="H120" s="17">
        <f t="shared" si="10"/>
        <v>0</v>
      </c>
      <c r="I120" s="16">
        <f t="shared" si="11"/>
        <v>0</v>
      </c>
      <c r="L120" s="18"/>
    </row>
    <row r="121" spans="1:12" ht="18.75" customHeight="1" x14ac:dyDescent="0.25">
      <c r="A121" s="18"/>
      <c r="B121" s="18"/>
      <c r="C121" s="11"/>
      <c r="D121" s="12"/>
      <c r="E121" s="13"/>
      <c r="F121" s="14" t="str">
        <f t="shared" si="9"/>
        <v/>
      </c>
      <c r="G121" s="15"/>
      <c r="H121" s="14">
        <f t="shared" si="10"/>
        <v>0</v>
      </c>
      <c r="I121" s="16">
        <f t="shared" si="11"/>
        <v>0</v>
      </c>
      <c r="L121" s="18"/>
    </row>
    <row r="122" spans="1:12" ht="18.75" customHeight="1" x14ac:dyDescent="0.25">
      <c r="A122" s="18"/>
      <c r="B122" s="18"/>
      <c r="C122" s="11"/>
      <c r="D122" s="12"/>
      <c r="E122" s="13"/>
      <c r="F122" s="17" t="str">
        <f t="shared" si="9"/>
        <v/>
      </c>
      <c r="G122" s="15"/>
      <c r="H122" s="17">
        <f t="shared" si="10"/>
        <v>0</v>
      </c>
      <c r="I122" s="16">
        <f t="shared" si="11"/>
        <v>0</v>
      </c>
      <c r="L122" s="18"/>
    </row>
    <row r="123" spans="1:12" ht="18.75" customHeight="1" x14ac:dyDescent="0.25">
      <c r="A123" s="18"/>
      <c r="B123" s="18"/>
      <c r="C123" s="11"/>
      <c r="D123" s="12"/>
      <c r="E123" s="13"/>
      <c r="F123" s="14" t="str">
        <f t="shared" si="9"/>
        <v/>
      </c>
      <c r="G123" s="15"/>
      <c r="H123" s="14">
        <f t="shared" si="10"/>
        <v>0</v>
      </c>
      <c r="I123" s="16">
        <f t="shared" si="11"/>
        <v>0</v>
      </c>
      <c r="L123" s="18"/>
    </row>
    <row r="124" spans="1:12" ht="18.75" customHeight="1" x14ac:dyDescent="0.25">
      <c r="A124" s="18"/>
      <c r="B124" s="18"/>
      <c r="C124" s="11"/>
      <c r="D124" s="12"/>
      <c r="E124" s="13"/>
      <c r="F124" s="17" t="str">
        <f t="shared" si="9"/>
        <v/>
      </c>
      <c r="G124" s="15"/>
      <c r="H124" s="17">
        <f t="shared" si="10"/>
        <v>0</v>
      </c>
      <c r="I124" s="16">
        <f t="shared" si="11"/>
        <v>0</v>
      </c>
      <c r="L124" s="18"/>
    </row>
    <row r="125" spans="1:12" ht="18.75" customHeight="1" x14ac:dyDescent="0.25">
      <c r="A125" s="18"/>
      <c r="B125" s="18"/>
      <c r="C125" s="11"/>
      <c r="D125" s="12"/>
      <c r="E125" s="13"/>
      <c r="F125" s="14" t="str">
        <f t="shared" si="9"/>
        <v/>
      </c>
      <c r="G125" s="15"/>
      <c r="H125" s="14">
        <f t="shared" si="10"/>
        <v>0</v>
      </c>
      <c r="I125" s="16">
        <f t="shared" si="11"/>
        <v>0</v>
      </c>
      <c r="L125" s="18"/>
    </row>
    <row r="126" spans="1:12" ht="18.75" customHeight="1" x14ac:dyDescent="0.25">
      <c r="A126" s="18"/>
      <c r="B126" s="18"/>
      <c r="C126" s="11"/>
      <c r="D126" s="12"/>
      <c r="E126" s="13"/>
      <c r="F126" s="17" t="str">
        <f t="shared" si="9"/>
        <v/>
      </c>
      <c r="G126" s="15"/>
      <c r="H126" s="17">
        <f t="shared" si="10"/>
        <v>0</v>
      </c>
      <c r="I126" s="16">
        <f t="shared" si="11"/>
        <v>0</v>
      </c>
      <c r="L126" s="18"/>
    </row>
    <row r="127" spans="1:12" ht="18.75" customHeight="1" x14ac:dyDescent="0.25">
      <c r="A127" s="18"/>
      <c r="B127" s="18"/>
      <c r="C127" s="11"/>
      <c r="D127" s="12"/>
      <c r="E127" s="13"/>
      <c r="F127" s="14" t="str">
        <f t="shared" si="9"/>
        <v/>
      </c>
      <c r="G127" s="15"/>
      <c r="H127" s="14">
        <f t="shared" si="10"/>
        <v>0</v>
      </c>
      <c r="I127" s="16">
        <f t="shared" si="11"/>
        <v>0</v>
      </c>
      <c r="L127" s="18"/>
    </row>
    <row r="128" spans="1:12" ht="18.75" customHeight="1" x14ac:dyDescent="0.25">
      <c r="A128" s="18"/>
      <c r="B128" s="18"/>
      <c r="C128" s="11"/>
      <c r="D128" s="12"/>
      <c r="E128" s="13"/>
      <c r="F128" s="17" t="str">
        <f t="shared" si="9"/>
        <v/>
      </c>
      <c r="G128" s="15"/>
      <c r="H128" s="17">
        <f t="shared" si="10"/>
        <v>0</v>
      </c>
      <c r="I128" s="16">
        <f t="shared" si="11"/>
        <v>0</v>
      </c>
      <c r="L128" s="18"/>
    </row>
    <row r="129" spans="1:12" ht="18.75" customHeight="1" x14ac:dyDescent="0.25">
      <c r="A129" s="18"/>
      <c r="B129" s="18"/>
      <c r="C129" s="11"/>
      <c r="D129" s="12"/>
      <c r="E129" s="13"/>
      <c r="F129" s="14" t="str">
        <f t="shared" si="9"/>
        <v/>
      </c>
      <c r="G129" s="15"/>
      <c r="H129" s="14">
        <f t="shared" si="10"/>
        <v>0</v>
      </c>
      <c r="I129" s="16">
        <f t="shared" si="11"/>
        <v>0</v>
      </c>
      <c r="L129" s="18"/>
    </row>
    <row r="130" spans="1:12" ht="18.75" customHeight="1" x14ac:dyDescent="0.25">
      <c r="A130" s="18"/>
      <c r="B130" s="18"/>
      <c r="C130" s="11"/>
      <c r="D130" s="12"/>
      <c r="E130" s="13"/>
      <c r="F130" s="17" t="str">
        <f t="shared" si="9"/>
        <v/>
      </c>
      <c r="G130" s="15"/>
      <c r="H130" s="17">
        <f t="shared" si="10"/>
        <v>0</v>
      </c>
      <c r="I130" s="16">
        <f t="shared" si="11"/>
        <v>0</v>
      </c>
      <c r="L130" s="18"/>
    </row>
    <row r="131" spans="1:12" ht="18.75" customHeight="1" x14ac:dyDescent="0.25">
      <c r="A131" s="18"/>
      <c r="B131" s="18"/>
      <c r="C131" s="11"/>
      <c r="D131" s="12"/>
      <c r="E131" s="13"/>
      <c r="F131" s="14" t="str">
        <f t="shared" si="9"/>
        <v/>
      </c>
      <c r="G131" s="15"/>
      <c r="H131" s="14">
        <f t="shared" si="10"/>
        <v>0</v>
      </c>
      <c r="I131" s="16">
        <f t="shared" si="11"/>
        <v>0</v>
      </c>
      <c r="L131" s="18"/>
    </row>
    <row r="132" spans="1:12" ht="18.75" customHeight="1" x14ac:dyDescent="0.25">
      <c r="A132" s="18"/>
      <c r="B132" s="18"/>
      <c r="C132" s="11"/>
      <c r="D132" s="12"/>
      <c r="E132" s="13"/>
      <c r="F132" s="17" t="str">
        <f t="shared" si="9"/>
        <v/>
      </c>
      <c r="G132" s="15"/>
      <c r="H132" s="17">
        <f t="shared" si="10"/>
        <v>0</v>
      </c>
      <c r="I132" s="16">
        <f t="shared" si="11"/>
        <v>0</v>
      </c>
      <c r="L132" s="18"/>
    </row>
    <row r="133" spans="1:12" ht="18.75" customHeight="1" x14ac:dyDescent="0.25">
      <c r="A133" s="18"/>
      <c r="B133" s="18"/>
      <c r="C133" s="11"/>
      <c r="D133" s="12"/>
      <c r="E133" s="13"/>
      <c r="F133" s="14" t="str">
        <f t="shared" si="9"/>
        <v/>
      </c>
      <c r="G133" s="15"/>
      <c r="H133" s="14">
        <f t="shared" si="10"/>
        <v>0</v>
      </c>
      <c r="I133" s="16">
        <f t="shared" si="11"/>
        <v>0</v>
      </c>
      <c r="L133" s="18"/>
    </row>
  </sheetData>
  <mergeCells count="10">
    <mergeCell ref="C2:K2"/>
    <mergeCell ref="E4:F4"/>
    <mergeCell ref="C1:K1"/>
    <mergeCell ref="G4:H4"/>
    <mergeCell ref="I4:K4"/>
    <mergeCell ref="I3:K3"/>
    <mergeCell ref="C3:D3"/>
    <mergeCell ref="G3:H3"/>
    <mergeCell ref="E3:F3"/>
    <mergeCell ref="C4:D4"/>
  </mergeCells>
  <conditionalFormatting sqref="G7:G133">
    <cfRule type="cellIs" dxfId="5" priority="1" operator="equal">
      <formula>"Nyert"</formula>
    </cfRule>
    <cfRule type="cellIs" dxfId="4" priority="2" operator="equal">
      <formula>"Veszített"</formula>
    </cfRule>
  </conditionalFormatting>
  <conditionalFormatting sqref="I7:I133">
    <cfRule type="cellIs" dxfId="3" priority="3" operator="greaterThan">
      <formula>0</formula>
    </cfRule>
    <cfRule type="cellIs" dxfId="2" priority="4" operator="lessThan">
      <formula>0</formula>
    </cfRule>
  </conditionalFormatting>
  <dataValidations count="1">
    <dataValidation type="list" allowBlank="1" sqref="G7:G133" xr:uid="{00000000-0002-0000-0000-000000000000}">
      <formula1>"Nyert,Veszített"</formula1>
    </dataValidation>
  </dataValidations>
  <pageMargins left="0.75" right="0.75" top="1" bottom="1" header="0.5" footer="0.5"/>
  <pageSetup scale="26" fitToHeight="0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O19"/>
  <sheetViews>
    <sheetView workbookViewId="0">
      <pane ySplit="6" topLeftCell="A7" activePane="bottomLeft" state="frozen"/>
      <selection pane="bottomLeft" activeCell="M30" sqref="M30"/>
    </sheetView>
  </sheetViews>
  <sheetFormatPr defaultRowHeight="15" x14ac:dyDescent="0.25"/>
  <cols>
    <col min="1" max="1" width="12" customWidth="1"/>
    <col min="2" max="2" width="15" customWidth="1"/>
    <col min="3" max="3" width="46.140625" bestFit="1" customWidth="1"/>
    <col min="4" max="4" width="13" customWidth="1"/>
    <col min="5" max="5" width="10" customWidth="1"/>
    <col min="6" max="6" width="12" customWidth="1"/>
    <col min="7" max="7" width="13" customWidth="1"/>
    <col min="8" max="8" width="18" customWidth="1"/>
    <col min="9" max="9" width="17" customWidth="1"/>
    <col min="10" max="10" width="10" customWidth="1"/>
    <col min="11" max="11" width="3" customWidth="1"/>
    <col min="12" max="12" width="22" customWidth="1"/>
    <col min="13" max="13" width="18" customWidth="1"/>
    <col min="14" max="14" width="10.42578125" customWidth="1"/>
    <col min="15" max="15" width="16.7109375" customWidth="1"/>
  </cols>
  <sheetData>
    <row r="1" spans="1:15" ht="33.950000000000003" customHeight="1" x14ac:dyDescent="0.25">
      <c r="A1" s="45" t="s">
        <v>58</v>
      </c>
      <c r="B1" s="44"/>
      <c r="C1" s="44"/>
      <c r="D1" s="44"/>
      <c r="E1" s="44"/>
      <c r="F1" s="44"/>
      <c r="G1" s="44"/>
      <c r="H1" s="44"/>
      <c r="I1" s="44"/>
      <c r="J1" s="44"/>
      <c r="L1" s="43" t="s">
        <v>15</v>
      </c>
      <c r="M1" s="44"/>
    </row>
    <row r="3" spans="1:15" x14ac:dyDescent="0.25">
      <c r="A3" s="20" t="s">
        <v>16</v>
      </c>
      <c r="B3" s="21">
        <v>2026</v>
      </c>
      <c r="C3" s="22" t="s">
        <v>59</v>
      </c>
      <c r="L3" s="23" t="s">
        <v>18</v>
      </c>
      <c r="M3" s="24">
        <f>SUM(D7:D18)</f>
        <v>66</v>
      </c>
    </row>
    <row r="4" spans="1:15" x14ac:dyDescent="0.25">
      <c r="L4" s="23" t="s">
        <v>12</v>
      </c>
      <c r="M4" s="24">
        <f>SUM(E7:E18)</f>
        <v>40</v>
      </c>
      <c r="N4" s="23" t="s">
        <v>19</v>
      </c>
      <c r="O4" s="40">
        <f>SUM(H7:H18)</f>
        <v>21180</v>
      </c>
    </row>
    <row r="5" spans="1:15" x14ac:dyDescent="0.25">
      <c r="L5" s="23" t="s">
        <v>13</v>
      </c>
      <c r="M5" s="24">
        <f>SUM(F7:F18)</f>
        <v>26</v>
      </c>
      <c r="N5" s="23" t="s">
        <v>20</v>
      </c>
      <c r="O5" s="40">
        <f>SUM(I7:I18)</f>
        <v>104000</v>
      </c>
    </row>
    <row r="6" spans="1:15" ht="32.1" customHeight="1" x14ac:dyDescent="0.25">
      <c r="A6" s="25" t="s">
        <v>60</v>
      </c>
      <c r="B6" s="25" t="s">
        <v>61</v>
      </c>
      <c r="C6" s="25" t="s">
        <v>62</v>
      </c>
      <c r="D6" s="25" t="s">
        <v>18</v>
      </c>
      <c r="E6" s="25" t="s">
        <v>12</v>
      </c>
      <c r="F6" s="25" t="s">
        <v>13</v>
      </c>
      <c r="G6" s="25" t="s">
        <v>24</v>
      </c>
      <c r="H6" s="25" t="s">
        <v>63</v>
      </c>
      <c r="I6" s="25" t="s">
        <v>26</v>
      </c>
      <c r="J6" s="25" t="s">
        <v>27</v>
      </c>
      <c r="L6" s="23" t="s">
        <v>24</v>
      </c>
      <c r="M6" s="26">
        <f>IFERROR(M4/M3,0)</f>
        <v>0.60606060606060608</v>
      </c>
      <c r="N6" s="23" t="s">
        <v>27</v>
      </c>
      <c r="O6" s="26">
        <f>IFERROR(O4/O5,0)</f>
        <v>0.20365384615384616</v>
      </c>
    </row>
    <row r="7" spans="1:15" hidden="1" x14ac:dyDescent="0.25">
      <c r="A7" s="27">
        <v>1</v>
      </c>
      <c r="B7" s="41">
        <f>DATE($B$3,1,1)</f>
        <v>46023</v>
      </c>
      <c r="C7" s="41">
        <f t="shared" ref="C7:C18" si="0">EOMONTH(B7,0)</f>
        <v>46053</v>
      </c>
      <c r="D7" s="27">
        <f>COUNTIFS('Tippmix napló'!$C$7:$C$133,"&gt;="&amp;B7,'Tippmix napló'!$C$7:$C$133,"&lt;"&amp;C7+1,'Tippmix napló'!$G$7:$G$133,"Nyert")+COUNTIFS('Tippmix napló'!$C$7:$C$133,"&gt;="&amp;B7,'Tippmix napló'!$C$7:$C$133,"&lt;"&amp;C7+1,'Tippmix napló'!$G$7:$G$133,"Veszített")</f>
        <v>0</v>
      </c>
      <c r="E7" s="27">
        <f>COUNTIFS('Tippmix napló'!$C$7:$C$133,"&gt;="&amp;B7,'Tippmix napló'!$C$7:$C$133,"&lt;"&amp;C7+1,'Tippmix napló'!$G$7:$G$133,"Nyert")</f>
        <v>0</v>
      </c>
      <c r="F7" s="27">
        <f>COUNTIFS('Tippmix napló'!$C$7:$C$133,"&gt;="&amp;B7,'Tippmix napló'!$C$7:$C$133,"&lt;"&amp;C7+1,'Tippmix napló'!$G$7:$G$133,"Veszített")</f>
        <v>0</v>
      </c>
      <c r="G7" s="29">
        <f t="shared" ref="G7:G18" si="1">IFERROR(E7/(E7+F7),0)</f>
        <v>0</v>
      </c>
      <c r="H7" s="31">
        <f>SUMIFS('Tippmix napló'!$I$7:$I$133,'Tippmix napló'!$C$7:$C$133,"&gt;="&amp;B7,'Tippmix napló'!$C$7:$C$133,"&lt;"&amp;C7+1)</f>
        <v>0</v>
      </c>
      <c r="I7" s="31">
        <f>SUMIFS('Tippmix napló'!$D$7:$D$133,'Tippmix napló'!$C$7:$C$133,"&gt;="&amp;B7,'Tippmix napló'!$C$7:$C$133,"&lt;"&amp;C7+1,'Tippmix napló'!$G$7:$G$133,"Nyert")+SUMIFS('Tippmix napló'!$D$7:$D$133,'Tippmix napló'!$C$7:$C$133,"&gt;="&amp;B7,'Tippmix napló'!$C$7:$C$133,"&lt;"&amp;C7+1,'Tippmix napló'!$G$7:$G$133,"Veszített")</f>
        <v>0</v>
      </c>
      <c r="J7" s="29">
        <f t="shared" ref="J7:J18" si="2">IFERROR(H7/I7,0)</f>
        <v>0</v>
      </c>
    </row>
    <row r="8" spans="1:15" hidden="1" x14ac:dyDescent="0.25">
      <c r="A8" s="33">
        <v>2</v>
      </c>
      <c r="B8" s="42">
        <f>DATE($B$3,2,1)</f>
        <v>46054</v>
      </c>
      <c r="C8" s="42">
        <f t="shared" si="0"/>
        <v>46081</v>
      </c>
      <c r="D8" s="33">
        <f>COUNTIFS('Tippmix napló'!$C$7:$C$133,"&gt;="&amp;B8,'Tippmix napló'!$C$7:$C$133,"&lt;"&amp;C8+1,'Tippmix napló'!$G$7:$G$133,"Nyert")+COUNTIFS('Tippmix napló'!$C$7:$C$133,"&gt;="&amp;B8,'Tippmix napló'!$C$7:$C$133,"&lt;"&amp;C8+1,'Tippmix napló'!$G$7:$G$133,"Veszített")</f>
        <v>0</v>
      </c>
      <c r="E8" s="33">
        <f>COUNTIFS('Tippmix napló'!$C$7:$C$133,"&gt;="&amp;B8,'Tippmix napló'!$C$7:$C$133,"&lt;"&amp;C8+1,'Tippmix napló'!$G$7:$G$133,"Nyert")</f>
        <v>0</v>
      </c>
      <c r="F8" s="33">
        <f>COUNTIFS('Tippmix napló'!$C$7:$C$133,"&gt;="&amp;B8,'Tippmix napló'!$C$7:$C$133,"&lt;"&amp;C8+1,'Tippmix napló'!$G$7:$G$133,"Veszített")</f>
        <v>0</v>
      </c>
      <c r="G8" s="35">
        <f t="shared" si="1"/>
        <v>0</v>
      </c>
      <c r="H8" s="37">
        <f>SUMIFS('Tippmix napló'!$I$7:$I$133,'Tippmix napló'!$C$7:$C$133,"&gt;="&amp;B8,'Tippmix napló'!$C$7:$C$133,"&lt;"&amp;C8+1)</f>
        <v>0</v>
      </c>
      <c r="I8" s="37">
        <f>SUMIFS('Tippmix napló'!$D$7:$D$133,'Tippmix napló'!$C$7:$C$133,"&gt;="&amp;B8,'Tippmix napló'!$C$7:$C$133,"&lt;"&amp;C8+1,'Tippmix napló'!$G$7:$G$133,"Nyert")+SUMIFS('Tippmix napló'!$D$7:$D$133,'Tippmix napló'!$C$7:$C$133,"&gt;="&amp;B8,'Tippmix napló'!$C$7:$C$133,"&lt;"&amp;C8+1,'Tippmix napló'!$G$7:$G$133,"Veszített")</f>
        <v>0</v>
      </c>
      <c r="J8" s="35">
        <f t="shared" si="2"/>
        <v>0</v>
      </c>
    </row>
    <row r="9" spans="1:15" hidden="1" x14ac:dyDescent="0.25">
      <c r="A9" s="27">
        <v>3</v>
      </c>
      <c r="B9" s="41">
        <f>DATE($B$3,3,1)</f>
        <v>46082</v>
      </c>
      <c r="C9" s="41">
        <f t="shared" si="0"/>
        <v>46112</v>
      </c>
      <c r="D9" s="27">
        <f>COUNTIFS('Tippmix napló'!$C$7:$C$133,"&gt;="&amp;B9,'Tippmix napló'!$C$7:$C$133,"&lt;"&amp;C9+1,'Tippmix napló'!$G$7:$G$133,"Nyert")+COUNTIFS('Tippmix napló'!$C$7:$C$133,"&gt;="&amp;B9,'Tippmix napló'!$C$7:$C$133,"&lt;"&amp;C9+1,'Tippmix napló'!$G$7:$G$133,"Veszített")</f>
        <v>0</v>
      </c>
      <c r="E9" s="27">
        <f>COUNTIFS('Tippmix napló'!$C$7:$C$133,"&gt;="&amp;B9,'Tippmix napló'!$C$7:$C$133,"&lt;"&amp;C9+1,'Tippmix napló'!$G$7:$G$133,"Nyert")</f>
        <v>0</v>
      </c>
      <c r="F9" s="27">
        <f>COUNTIFS('Tippmix napló'!$C$7:$C$133,"&gt;="&amp;B9,'Tippmix napló'!$C$7:$C$133,"&lt;"&amp;C9+1,'Tippmix napló'!$G$7:$G$133,"Veszített")</f>
        <v>0</v>
      </c>
      <c r="G9" s="29">
        <f t="shared" si="1"/>
        <v>0</v>
      </c>
      <c r="H9" s="31">
        <f>SUMIFS('Tippmix napló'!$I$7:$I$133,'Tippmix napló'!$C$7:$C$133,"&gt;="&amp;B9,'Tippmix napló'!$C$7:$C$133,"&lt;"&amp;C9+1)</f>
        <v>0</v>
      </c>
      <c r="I9" s="31">
        <f>SUMIFS('Tippmix napló'!$D$7:$D$133,'Tippmix napló'!$C$7:$C$133,"&gt;="&amp;B9,'Tippmix napló'!$C$7:$C$133,"&lt;"&amp;C9+1,'Tippmix napló'!$G$7:$G$133,"Nyert")+SUMIFS('Tippmix napló'!$D$7:$D$133,'Tippmix napló'!$C$7:$C$133,"&gt;="&amp;B9,'Tippmix napló'!$C$7:$C$133,"&lt;"&amp;C9+1,'Tippmix napló'!$G$7:$G$133,"Veszített")</f>
        <v>0</v>
      </c>
      <c r="J9" s="29">
        <f t="shared" si="2"/>
        <v>0</v>
      </c>
    </row>
    <row r="10" spans="1:15" hidden="1" x14ac:dyDescent="0.25">
      <c r="A10" s="33">
        <v>4</v>
      </c>
      <c r="B10" s="42">
        <f>DATE($B$3,4,1)</f>
        <v>46113</v>
      </c>
      <c r="C10" s="42">
        <f t="shared" si="0"/>
        <v>46142</v>
      </c>
      <c r="D10" s="33">
        <f>COUNTIFS('Tippmix napló'!$C$7:$C$133,"&gt;="&amp;B10,'Tippmix napló'!$C$7:$C$133,"&lt;"&amp;C10+1,'Tippmix napló'!$G$7:$G$133,"Nyert")+COUNTIFS('Tippmix napló'!$C$7:$C$133,"&gt;="&amp;B10,'Tippmix napló'!$C$7:$C$133,"&lt;"&amp;C10+1,'Tippmix napló'!$G$7:$G$133,"Veszített")</f>
        <v>0</v>
      </c>
      <c r="E10" s="33">
        <f>COUNTIFS('Tippmix napló'!$C$7:$C$133,"&gt;="&amp;B10,'Tippmix napló'!$C$7:$C$133,"&lt;"&amp;C10+1,'Tippmix napló'!$G$7:$G$133,"Nyert")</f>
        <v>0</v>
      </c>
      <c r="F10" s="33">
        <f>COUNTIFS('Tippmix napló'!$C$7:$C$133,"&gt;="&amp;B10,'Tippmix napló'!$C$7:$C$133,"&lt;"&amp;C10+1,'Tippmix napló'!$G$7:$G$133,"Veszített")</f>
        <v>0</v>
      </c>
      <c r="G10" s="35">
        <f t="shared" si="1"/>
        <v>0</v>
      </c>
      <c r="H10" s="37">
        <f>SUMIFS('Tippmix napló'!$I$7:$I$133,'Tippmix napló'!$C$7:$C$133,"&gt;="&amp;B10,'Tippmix napló'!$C$7:$C$133,"&lt;"&amp;C10+1)</f>
        <v>0</v>
      </c>
      <c r="I10" s="37">
        <f>SUMIFS('Tippmix napló'!$D$7:$D$133,'Tippmix napló'!$C$7:$C$133,"&gt;="&amp;B10,'Tippmix napló'!$C$7:$C$133,"&lt;"&amp;C10+1,'Tippmix napló'!$G$7:$G$133,"Nyert")+SUMIFS('Tippmix napló'!$D$7:$D$133,'Tippmix napló'!$C$7:$C$133,"&gt;="&amp;B10,'Tippmix napló'!$C$7:$C$133,"&lt;"&amp;C10+1,'Tippmix napló'!$G$7:$G$133,"Veszített")</f>
        <v>0</v>
      </c>
      <c r="J10" s="35">
        <f t="shared" si="2"/>
        <v>0</v>
      </c>
    </row>
    <row r="11" spans="1:15" hidden="1" x14ac:dyDescent="0.25">
      <c r="A11" s="27">
        <v>5</v>
      </c>
      <c r="B11" s="41">
        <f>DATE($B$3,5,1)</f>
        <v>46143</v>
      </c>
      <c r="C11" s="41">
        <f t="shared" si="0"/>
        <v>46173</v>
      </c>
      <c r="D11" s="27">
        <f>COUNTIFS('Tippmix napló'!$C$7:$C$133,"&gt;="&amp;B11,'Tippmix napló'!$C$7:$C$133,"&lt;"&amp;C11+1,'Tippmix napló'!$G$7:$G$133,"Nyert")+COUNTIFS('Tippmix napló'!$C$7:$C$133,"&gt;="&amp;B11,'Tippmix napló'!$C$7:$C$133,"&lt;"&amp;C11+1,'Tippmix napló'!$G$7:$G$133,"Veszített")</f>
        <v>0</v>
      </c>
      <c r="E11" s="27">
        <f>COUNTIFS('Tippmix napló'!$C$7:$C$133,"&gt;="&amp;B11,'Tippmix napló'!$C$7:$C$133,"&lt;"&amp;C11+1,'Tippmix napló'!$G$7:$G$133,"Nyert")</f>
        <v>0</v>
      </c>
      <c r="F11" s="27">
        <f>COUNTIFS('Tippmix napló'!$C$7:$C$133,"&gt;="&amp;B11,'Tippmix napló'!$C$7:$C$133,"&lt;"&amp;C11+1,'Tippmix napló'!$G$7:$G$133,"Veszített")</f>
        <v>0</v>
      </c>
      <c r="G11" s="29">
        <f t="shared" si="1"/>
        <v>0</v>
      </c>
      <c r="H11" s="31">
        <f>SUMIFS('Tippmix napló'!$I$7:$I$133,'Tippmix napló'!$C$7:$C$133,"&gt;="&amp;B11,'Tippmix napló'!$C$7:$C$133,"&lt;"&amp;C11+1)</f>
        <v>0</v>
      </c>
      <c r="I11" s="31">
        <f>SUMIFS('Tippmix napló'!$D$7:$D$133,'Tippmix napló'!$C$7:$C$133,"&gt;="&amp;B11,'Tippmix napló'!$C$7:$C$133,"&lt;"&amp;C11+1,'Tippmix napló'!$G$7:$G$133,"Nyert")+SUMIFS('Tippmix napló'!$D$7:$D$133,'Tippmix napló'!$C$7:$C$133,"&gt;="&amp;B11,'Tippmix napló'!$C$7:$C$133,"&lt;"&amp;C11+1,'Tippmix napló'!$G$7:$G$133,"Veszített")</f>
        <v>0</v>
      </c>
      <c r="J11" s="29">
        <f t="shared" si="2"/>
        <v>0</v>
      </c>
    </row>
    <row r="12" spans="1:15" hidden="1" x14ac:dyDescent="0.25">
      <c r="A12" s="27">
        <v>6</v>
      </c>
      <c r="B12" s="41">
        <f>DATE($B$3,6,1)</f>
        <v>46174</v>
      </c>
      <c r="C12" s="41">
        <f t="shared" si="0"/>
        <v>46203</v>
      </c>
      <c r="D12" s="27">
        <f>COUNTIFS('Tippmix napló'!$C$7:$C$133,"&gt;="&amp;B12,'Tippmix napló'!$C$7:$C$133,"&lt;"&amp;C12+1,'Tippmix napló'!$G$7:$G$133,"Nyert")+COUNTIFS('Tippmix napló'!$C$7:$C$133,"&gt;="&amp;B12,'Tippmix napló'!$C$7:$C$133,"&lt;"&amp;C12+1,'Tippmix napló'!$G$7:$G$133,"Veszített")</f>
        <v>0</v>
      </c>
      <c r="E12" s="27">
        <f>COUNTIFS('Tippmix napló'!$C$7:$C$133,"&gt;="&amp;B12,'Tippmix napló'!$C$7:$C$133,"&lt;"&amp;C12+1,'Tippmix napló'!$G$7:$G$133,"Nyert")</f>
        <v>0</v>
      </c>
      <c r="F12" s="27">
        <f>COUNTIFS('Tippmix napló'!$C$7:$C$133,"&gt;="&amp;B12,'Tippmix napló'!$C$7:$C$133,"&lt;"&amp;C12+1,'Tippmix napló'!$G$7:$G$133,"Veszített")</f>
        <v>0</v>
      </c>
      <c r="G12" s="29">
        <f t="shared" si="1"/>
        <v>0</v>
      </c>
      <c r="H12" s="31">
        <f>SUMIFS('Tippmix napló'!$I$7:$I$133,'Tippmix napló'!$C$7:$C$133,"&gt;="&amp;B12,'Tippmix napló'!$C$7:$C$133,"&lt;"&amp;C12+1)</f>
        <v>0</v>
      </c>
      <c r="I12" s="31">
        <f>SUMIFS('Tippmix napló'!$D$7:$D$133,'Tippmix napló'!$C$7:$C$133,"&gt;="&amp;B12,'Tippmix napló'!$C$7:$C$133,"&lt;"&amp;C12+1,'Tippmix napló'!$G$7:$G$133,"Nyert")+SUMIFS('Tippmix napló'!$D$7:$D$133,'Tippmix napló'!$C$7:$C$133,"&gt;="&amp;B12,'Tippmix napló'!$C$7:$C$133,"&lt;"&amp;C12+1,'Tippmix napló'!$G$7:$G$133,"Veszített")</f>
        <v>0</v>
      </c>
      <c r="J12" s="29">
        <f t="shared" si="2"/>
        <v>0</v>
      </c>
    </row>
    <row r="13" spans="1:15" hidden="1" x14ac:dyDescent="0.25">
      <c r="A13" s="33">
        <v>7</v>
      </c>
      <c r="B13" s="42">
        <f>DATE($B$3,7,1)</f>
        <v>46204</v>
      </c>
      <c r="C13" s="42">
        <f t="shared" si="0"/>
        <v>46234</v>
      </c>
      <c r="D13" s="33">
        <f>COUNTIFS('Tippmix napló'!$C$7:$C$133,"&gt;="&amp;B13,'Tippmix napló'!$C$7:$C$133,"&lt;"&amp;C13+1,'Tippmix napló'!$G$7:$G$133,"Nyert")+COUNTIFS('Tippmix napló'!$C$7:$C$133,"&gt;="&amp;B13,'Tippmix napló'!$C$7:$C$133,"&lt;"&amp;C13+1,'Tippmix napló'!$G$7:$G$133,"Veszített")</f>
        <v>0</v>
      </c>
      <c r="E13" s="33">
        <f>COUNTIFS('Tippmix napló'!$C$7:$C$133,"&gt;="&amp;B13,'Tippmix napló'!$C$7:$C$133,"&lt;"&amp;C13+1,'Tippmix napló'!$G$7:$G$133,"Nyert")</f>
        <v>0</v>
      </c>
      <c r="F13" s="33">
        <f>COUNTIFS('Tippmix napló'!$C$7:$C$133,"&gt;="&amp;B13,'Tippmix napló'!$C$7:$C$133,"&lt;"&amp;C13+1,'Tippmix napló'!$G$7:$G$133,"Veszített")</f>
        <v>0</v>
      </c>
      <c r="G13" s="35">
        <f t="shared" si="1"/>
        <v>0</v>
      </c>
      <c r="H13" s="37">
        <f>SUMIFS('Tippmix napló'!$I$7:$I$133,'Tippmix napló'!$C$7:$C$133,"&gt;="&amp;B13,'Tippmix napló'!$C$7:$C$133,"&lt;"&amp;C13+1)</f>
        <v>0</v>
      </c>
      <c r="I13" s="37">
        <f>SUMIFS('Tippmix napló'!$D$7:$D$133,'Tippmix napló'!$C$7:$C$133,"&gt;="&amp;B13,'Tippmix napló'!$C$7:$C$133,"&lt;"&amp;C13+1,'Tippmix napló'!$G$7:$G$133,"Nyert")+SUMIFS('Tippmix napló'!$D$7:$D$133,'Tippmix napló'!$C$7:$C$133,"&gt;="&amp;B13,'Tippmix napló'!$C$7:$C$133,"&lt;"&amp;C13+1,'Tippmix napló'!$G$7:$G$133,"Veszített")</f>
        <v>0</v>
      </c>
      <c r="J13" s="35">
        <f t="shared" si="2"/>
        <v>0</v>
      </c>
    </row>
    <row r="14" spans="1:15" x14ac:dyDescent="0.25">
      <c r="A14" s="27">
        <v>8</v>
      </c>
      <c r="B14" s="41">
        <f>DATE($B$3,8,1)</f>
        <v>46235</v>
      </c>
      <c r="C14" s="41">
        <f t="shared" si="0"/>
        <v>46265</v>
      </c>
      <c r="D14" s="27">
        <f>COUNTIFS('Tippmix napló'!$C$7:$C$133,"&gt;="&amp;B14,'Tippmix napló'!$C$7:$C$133,"&lt;"&amp;C14+1,'Tippmix napló'!$G$7:$G$133,"Nyert")+COUNTIFS('Tippmix napló'!$C$7:$C$133,"&gt;="&amp;B14,'Tippmix napló'!$C$7:$C$133,"&lt;"&amp;C14+1,'Tippmix napló'!$G$7:$G$133,"Veszített")</f>
        <v>4</v>
      </c>
      <c r="E14" s="27">
        <f>COUNTIFS('Tippmix napló'!$C$7:$C$133,"&gt;="&amp;B14,'Tippmix napló'!$C$7:$C$133,"&lt;"&amp;C14+1,'Tippmix napló'!$G$7:$G$133,"Nyert")</f>
        <v>3</v>
      </c>
      <c r="F14" s="27">
        <f>COUNTIFS('Tippmix napló'!$C$7:$C$133,"&gt;="&amp;B14,'Tippmix napló'!$C$7:$C$133,"&lt;"&amp;C14+1,'Tippmix napló'!$G$7:$G$133,"Veszített")</f>
        <v>1</v>
      </c>
      <c r="G14" s="29">
        <f t="shared" si="1"/>
        <v>0.75</v>
      </c>
      <c r="H14" s="31">
        <f>SUMIFS('Tippmix napló'!$I$7:$I$133,'Tippmix napló'!$C$7:$C$133,"&gt;="&amp;B14,'Tippmix napló'!$C$7:$C$133,"&lt;"&amp;C14+1)</f>
        <v>3160</v>
      </c>
      <c r="I14" s="31">
        <f>SUMIFS('Tippmix napló'!$D$7:$D$133,'Tippmix napló'!$C$7:$C$133,"&gt;="&amp;B14,'Tippmix napló'!$C$7:$C$133,"&lt;"&amp;C14+1,'Tippmix napló'!$G$7:$G$133,"Nyert")+SUMIFS('Tippmix napló'!$D$7:$D$133,'Tippmix napló'!$C$7:$C$133,"&gt;="&amp;B14,'Tippmix napló'!$C$7:$C$133,"&lt;"&amp;C14+1,'Tippmix napló'!$G$7:$G$133,"Veszített")</f>
        <v>4000</v>
      </c>
      <c r="J14" s="29">
        <f t="shared" si="2"/>
        <v>0.79</v>
      </c>
    </row>
    <row r="15" spans="1:15" x14ac:dyDescent="0.25">
      <c r="A15" s="33">
        <v>9</v>
      </c>
      <c r="B15" s="42">
        <f>DATE($B$3,9,1)</f>
        <v>46266</v>
      </c>
      <c r="C15" s="42">
        <f t="shared" si="0"/>
        <v>46295</v>
      </c>
      <c r="D15" s="33">
        <f>COUNTIFS('Tippmix napló'!$C$7:$C$133,"&gt;="&amp;B15,'Tippmix napló'!$C$7:$C$133,"&lt;"&amp;C15+1,'Tippmix napló'!$G$7:$G$133,"Nyert")+COUNTIFS('Tippmix napló'!$C$7:$C$133,"&gt;="&amp;B15,'Tippmix napló'!$C$7:$C$133,"&lt;"&amp;C15+1,'Tippmix napló'!$G$7:$G$133,"Veszített")</f>
        <v>37</v>
      </c>
      <c r="E15" s="33">
        <f>COUNTIFS('Tippmix napló'!$C$7:$C$133,"&gt;="&amp;B15,'Tippmix napló'!$C$7:$C$133,"&lt;"&amp;C15+1,'Tippmix napló'!$G$7:$G$133,"Nyert")</f>
        <v>22</v>
      </c>
      <c r="F15" s="33">
        <f>COUNTIFS('Tippmix napló'!$C$7:$C$133,"&gt;="&amp;B15,'Tippmix napló'!$C$7:$C$133,"&lt;"&amp;C15+1,'Tippmix napló'!$G$7:$G$133,"Veszített")</f>
        <v>15</v>
      </c>
      <c r="G15" s="35">
        <f t="shared" si="1"/>
        <v>0.59459459459459463</v>
      </c>
      <c r="H15" s="37">
        <f>SUMIFS('Tippmix napló'!$I$7:$I$133,'Tippmix napló'!$C$7:$C$133,"&gt;="&amp;B15,'Tippmix napló'!$C$7:$C$133,"&lt;"&amp;C15+1)</f>
        <v>4680</v>
      </c>
      <c r="I15" s="37">
        <f>SUMIFS('Tippmix napló'!$D$7:$D$133,'Tippmix napló'!$C$7:$C$133,"&gt;="&amp;B15,'Tippmix napló'!$C$7:$C$133,"&lt;"&amp;C15+1,'Tippmix napló'!$G$7:$G$133,"Nyert")+SUMIFS('Tippmix napló'!$D$7:$D$133,'Tippmix napló'!$C$7:$C$133,"&gt;="&amp;B15,'Tippmix napló'!$C$7:$C$133,"&lt;"&amp;C15+1,'Tippmix napló'!$G$7:$G$133,"Veszített")</f>
        <v>50000</v>
      </c>
      <c r="J15" s="35">
        <f t="shared" si="2"/>
        <v>9.3600000000000003E-2</v>
      </c>
    </row>
    <row r="16" spans="1:15" x14ac:dyDescent="0.25">
      <c r="A16" s="27">
        <v>10</v>
      </c>
      <c r="B16" s="41">
        <f>DATE($B$3,10,1)</f>
        <v>46296</v>
      </c>
      <c r="C16" s="41">
        <f t="shared" si="0"/>
        <v>46326</v>
      </c>
      <c r="D16" s="27">
        <f>COUNTIFS('Tippmix napló'!$C$7:$C$133,"&gt;="&amp;B16,'Tippmix napló'!$C$7:$C$133,"&lt;"&amp;C16+1,'Tippmix napló'!$G$7:$G$133,"Nyert")+COUNTIFS('Tippmix napló'!$C$7:$C$133,"&gt;="&amp;B16,'Tippmix napló'!$C$7:$C$133,"&lt;"&amp;C16+1,'Tippmix napló'!$G$7:$G$133,"Veszített")</f>
        <v>25</v>
      </c>
      <c r="E16" s="27">
        <f>COUNTIFS('Tippmix napló'!$C$7:$C$133,"&gt;="&amp;B16,'Tippmix napló'!$C$7:$C$133,"&lt;"&amp;C16+1,'Tippmix napló'!$G$7:$G$133,"Nyert")</f>
        <v>15</v>
      </c>
      <c r="F16" s="27">
        <f>COUNTIFS('Tippmix napló'!$C$7:$C$133,"&gt;="&amp;B16,'Tippmix napló'!$C$7:$C$133,"&lt;"&amp;C16+1,'Tippmix napló'!$G$7:$G$133,"Veszített")</f>
        <v>10</v>
      </c>
      <c r="G16" s="29">
        <f t="shared" si="1"/>
        <v>0.6</v>
      </c>
      <c r="H16" s="31">
        <f>SUMIFS('Tippmix napló'!$I$7:$I$133,'Tippmix napló'!$C$7:$C$133,"&gt;="&amp;B16,'Tippmix napló'!$C$7:$C$133,"&lt;"&amp;C16+1)</f>
        <v>13340</v>
      </c>
      <c r="I16" s="31">
        <f>SUMIFS('Tippmix napló'!$D$7:$D$133,'Tippmix napló'!$C$7:$C$133,"&gt;="&amp;B16,'Tippmix napló'!$C$7:$C$133,"&lt;"&amp;C16+1,'Tippmix napló'!$G$7:$G$133,"Nyert")+SUMIFS('Tippmix napló'!$D$7:$D$133,'Tippmix napló'!$C$7:$C$133,"&gt;="&amp;B16,'Tippmix napló'!$C$7:$C$133,"&lt;"&amp;C16+1,'Tippmix napló'!$G$7:$G$133,"Veszített")</f>
        <v>50000</v>
      </c>
      <c r="J16" s="29">
        <f t="shared" si="2"/>
        <v>0.26679999999999998</v>
      </c>
    </row>
    <row r="17" spans="1:10" x14ac:dyDescent="0.25">
      <c r="A17" s="27">
        <v>11</v>
      </c>
      <c r="B17" s="41">
        <f>DATE($B$3,11,1)</f>
        <v>46327</v>
      </c>
      <c r="C17" s="41">
        <f t="shared" si="0"/>
        <v>46356</v>
      </c>
      <c r="D17" s="27">
        <f>COUNTIFS('Tippmix napló'!$C$7:$C$133,"&gt;="&amp;B17,'Tippmix napló'!$C$7:$C$133,"&lt;"&amp;C17+1,'Tippmix napló'!$G$7:$G$133,"Nyert")+COUNTIFS('Tippmix napló'!$C$7:$C$133,"&gt;="&amp;B17,'Tippmix napló'!$C$7:$C$133,"&lt;"&amp;C17+1,'Tippmix napló'!$G$7:$G$133,"Veszített")</f>
        <v>0</v>
      </c>
      <c r="E17" s="27">
        <f>COUNTIFS('Tippmix napló'!$C$7:$C$133,"&gt;="&amp;B17,'Tippmix napló'!$C$7:$C$133,"&lt;"&amp;C17+1,'Tippmix napló'!$G$7:$G$133,"Nyert")</f>
        <v>0</v>
      </c>
      <c r="F17" s="27">
        <f>COUNTIFS('Tippmix napló'!$C$7:$C$133,"&gt;="&amp;B17,'Tippmix napló'!$C$7:$C$133,"&lt;"&amp;C17+1,'Tippmix napló'!$G$7:$G$133,"Veszített")</f>
        <v>0</v>
      </c>
      <c r="G17" s="29">
        <f t="shared" si="1"/>
        <v>0</v>
      </c>
      <c r="H17" s="31">
        <f>SUMIFS('Tippmix napló'!$I$7:$I$133,'Tippmix napló'!$C$7:$C$133,"&gt;="&amp;B17,'Tippmix napló'!$C$7:$C$133,"&lt;"&amp;C17+1)</f>
        <v>0</v>
      </c>
      <c r="I17" s="31">
        <f>SUMIFS('Tippmix napló'!$D$7:$D$133,'Tippmix napló'!$C$7:$C$133,"&gt;="&amp;B17,'Tippmix napló'!$C$7:$C$133,"&lt;"&amp;C17+1,'Tippmix napló'!$G$7:$G$133,"Nyert")+SUMIFS('Tippmix napló'!$D$7:$D$133,'Tippmix napló'!$C$7:$C$133,"&gt;="&amp;B17,'Tippmix napló'!$C$7:$C$133,"&lt;"&amp;C17+1,'Tippmix napló'!$G$7:$G$133,"Veszített")</f>
        <v>0</v>
      </c>
      <c r="J17" s="29">
        <f t="shared" si="2"/>
        <v>0</v>
      </c>
    </row>
    <row r="18" spans="1:10" x14ac:dyDescent="0.25">
      <c r="A18" s="33">
        <v>12</v>
      </c>
      <c r="B18" s="42">
        <f>DATE($B$3,12,1)</f>
        <v>46357</v>
      </c>
      <c r="C18" s="42">
        <f t="shared" si="0"/>
        <v>46387</v>
      </c>
      <c r="D18" s="33">
        <f>COUNTIFS('Tippmix napló'!$C$7:$C$133,"&gt;="&amp;B18,'Tippmix napló'!$C$7:$C$133,"&lt;"&amp;C18+1,'Tippmix napló'!$G$7:$G$133,"Nyert")+COUNTIFS('Tippmix napló'!$C$7:$C$133,"&gt;="&amp;B18,'Tippmix napló'!$C$7:$C$133,"&lt;"&amp;C18+1,'Tippmix napló'!$G$7:$G$133,"Veszített")</f>
        <v>0</v>
      </c>
      <c r="E18" s="33">
        <f>COUNTIFS('Tippmix napló'!$C$7:$C$133,"&gt;="&amp;B18,'Tippmix napló'!$C$7:$C$133,"&lt;"&amp;C18+1,'Tippmix napló'!$G$7:$G$133,"Nyert")</f>
        <v>0</v>
      </c>
      <c r="F18" s="33">
        <f>COUNTIFS('Tippmix napló'!$C$7:$C$133,"&gt;="&amp;B18,'Tippmix napló'!$C$7:$C$133,"&lt;"&amp;C18+1,'Tippmix napló'!$G$7:$G$133,"Veszített")</f>
        <v>0</v>
      </c>
      <c r="G18" s="35">
        <f t="shared" si="1"/>
        <v>0</v>
      </c>
      <c r="H18" s="37">
        <f>SUMIFS('Tippmix napló'!$I$7:$I$133,'Tippmix napló'!$C$7:$C$133,"&gt;="&amp;B18,'Tippmix napló'!$C$7:$C$133,"&lt;"&amp;C18+1)</f>
        <v>0</v>
      </c>
      <c r="I18" s="37">
        <f>SUMIFS('Tippmix napló'!$D$7:$D$133,'Tippmix napló'!$C$7:$C$133,"&gt;="&amp;B18,'Tippmix napló'!$C$7:$C$133,"&lt;"&amp;C18+1,'Tippmix napló'!$G$7:$G$133,"Nyert")+SUMIFS('Tippmix napló'!$D$7:$D$133,'Tippmix napló'!$C$7:$C$133,"&gt;="&amp;B18,'Tippmix napló'!$C$7:$C$133,"&lt;"&amp;C18+1,'Tippmix napló'!$G$7:$G$133,"Veszített")</f>
        <v>0</v>
      </c>
      <c r="J18" s="35">
        <f t="shared" si="2"/>
        <v>0</v>
      </c>
    </row>
    <row r="19" spans="1:10" x14ac:dyDescent="0.25">
      <c r="A19" s="27"/>
      <c r="B19" s="28"/>
      <c r="C19" s="28"/>
      <c r="D19" s="27"/>
      <c r="E19" s="27"/>
      <c r="F19" s="27"/>
      <c r="G19" s="29"/>
      <c r="H19" s="30"/>
      <c r="I19" s="31"/>
      <c r="J19" s="29"/>
    </row>
  </sheetData>
  <autoFilter ref="A6:J18" xr:uid="{00000000-0009-0000-0000-000004000000}">
    <filterColumn colId="0">
      <filters>
        <filter val="10"/>
        <filter val="11"/>
        <filter val="12"/>
        <filter val="8"/>
        <filter val="9"/>
      </filters>
    </filterColumn>
  </autoFilter>
  <mergeCells count="2">
    <mergeCell ref="L1:M1"/>
    <mergeCell ref="A1:J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O59"/>
  <sheetViews>
    <sheetView showGridLines="0" workbookViewId="0">
      <pane ySplit="6" topLeftCell="A41" activePane="bottomLeft" state="frozen"/>
      <selection pane="bottomLeft" activeCell="J49" sqref="J49"/>
    </sheetView>
  </sheetViews>
  <sheetFormatPr defaultRowHeight="15" x14ac:dyDescent="0.25"/>
  <cols>
    <col min="1" max="1" width="12" customWidth="1"/>
    <col min="2" max="3" width="15" customWidth="1"/>
    <col min="4" max="4" width="13" customWidth="1"/>
    <col min="5" max="5" width="10" customWidth="1"/>
    <col min="6" max="6" width="12" customWidth="1"/>
    <col min="7" max="7" width="13" customWidth="1"/>
    <col min="8" max="8" width="18" customWidth="1"/>
    <col min="9" max="9" width="17" customWidth="1"/>
    <col min="10" max="10" width="10" customWidth="1"/>
    <col min="11" max="11" width="3" customWidth="1"/>
    <col min="12" max="12" width="22" customWidth="1"/>
    <col min="13" max="13" width="18" customWidth="1"/>
    <col min="14" max="14" width="10.42578125" bestFit="1" customWidth="1"/>
    <col min="15" max="15" width="16.7109375" customWidth="1"/>
  </cols>
  <sheetData>
    <row r="1" spans="1:15" ht="33.950000000000003" customHeight="1" x14ac:dyDescent="0.25">
      <c r="A1" s="45" t="s">
        <v>14</v>
      </c>
      <c r="B1" s="44"/>
      <c r="C1" s="44"/>
      <c r="D1" s="44"/>
      <c r="E1" s="44"/>
      <c r="F1" s="44"/>
      <c r="G1" s="44"/>
      <c r="H1" s="44"/>
      <c r="I1" s="44"/>
      <c r="J1" s="44"/>
      <c r="L1" s="43" t="s">
        <v>15</v>
      </c>
      <c r="M1" s="44"/>
    </row>
    <row r="3" spans="1:15" x14ac:dyDescent="0.25">
      <c r="A3" s="20" t="s">
        <v>16</v>
      </c>
      <c r="B3" s="21">
        <v>2026</v>
      </c>
      <c r="C3" s="22" t="s">
        <v>17</v>
      </c>
      <c r="L3" s="23" t="s">
        <v>18</v>
      </c>
      <c r="M3" s="24">
        <f>SUM(D7:D59)</f>
        <v>66</v>
      </c>
    </row>
    <row r="4" spans="1:15" x14ac:dyDescent="0.25">
      <c r="L4" s="23" t="s">
        <v>12</v>
      </c>
      <c r="M4" s="24">
        <f>SUM(E7:E59)</f>
        <v>40</v>
      </c>
      <c r="N4" s="23" t="s">
        <v>19</v>
      </c>
      <c r="O4" s="32">
        <f>SUM(H7:H59)</f>
        <v>21180</v>
      </c>
    </row>
    <row r="5" spans="1:15" x14ac:dyDescent="0.25">
      <c r="L5" s="23" t="s">
        <v>13</v>
      </c>
      <c r="M5" s="24">
        <f>SUM(F7:F59)</f>
        <v>26</v>
      </c>
      <c r="N5" s="23" t="s">
        <v>20</v>
      </c>
      <c r="O5" s="32">
        <f>SUM(I7:I59)</f>
        <v>104000</v>
      </c>
    </row>
    <row r="6" spans="1:15" ht="32.1" customHeight="1" x14ac:dyDescent="0.25">
      <c r="A6" s="25" t="s">
        <v>21</v>
      </c>
      <c r="B6" s="25" t="s">
        <v>22</v>
      </c>
      <c r="C6" s="25" t="s">
        <v>23</v>
      </c>
      <c r="D6" s="25" t="s">
        <v>18</v>
      </c>
      <c r="E6" s="25" t="s">
        <v>12</v>
      </c>
      <c r="F6" s="25" t="s">
        <v>13</v>
      </c>
      <c r="G6" s="25" t="s">
        <v>24</v>
      </c>
      <c r="H6" s="25" t="s">
        <v>25</v>
      </c>
      <c r="I6" s="25" t="s">
        <v>26</v>
      </c>
      <c r="J6" s="25" t="s">
        <v>27</v>
      </c>
      <c r="L6" s="23" t="s">
        <v>24</v>
      </c>
      <c r="M6" s="26">
        <f>IFERROR(M4/M3,0)</f>
        <v>0.60606060606060608</v>
      </c>
      <c r="N6" s="23" t="s">
        <v>27</v>
      </c>
      <c r="O6" s="26">
        <f>IFERROR(O4/O5,0)</f>
        <v>0.20365384615384616</v>
      </c>
    </row>
    <row r="7" spans="1:15" hidden="1" x14ac:dyDescent="0.25">
      <c r="A7" s="27" t="str">
        <f t="shared" ref="A7:A38" ca="1" si="0">IF(OR(B7="",B7&gt;TODAY()+370),"","CW"&amp;TEXT(ROW()-6,"00"))</f>
        <v>CW01</v>
      </c>
      <c r="B7" s="28">
        <f t="shared" ref="B7:B38" si="1">DATE($B$3,1,4)-WEEKDAY(DATE($B$3,1,4),2)+1+(ROW()-7)*7</f>
        <v>46020</v>
      </c>
      <c r="C7" s="28">
        <f t="shared" ref="C7:C38" si="2">B7+6</f>
        <v>46026</v>
      </c>
      <c r="D7" s="27">
        <f>COUNTIFS('Tippmix napló'!$C$7:$C$133,"&gt;="&amp;B7,'Tippmix napló'!$C$7:$C$133,"&lt;"&amp;C7+1,'Tippmix napló'!$G$7:$G$133,"Nyert")+COUNTIFS('Tippmix napló'!$C$7:$C$133,"&gt;="&amp;B7,'Tippmix napló'!$C$7:$C$133,"&lt;"&amp;C7+1,'Tippmix napló'!$G$7:$G$133,"Veszített")</f>
        <v>0</v>
      </c>
      <c r="E7" s="27">
        <f>COUNTIFS('Tippmix napló'!$C$7:$C$133,"&gt;="&amp;B7,'Tippmix napló'!$C$7:$C$133,"&lt;"&amp;C7+1,'Tippmix napló'!$G$7:$G$133,"Nyert")</f>
        <v>0</v>
      </c>
      <c r="F7" s="27">
        <f>COUNTIFS('Tippmix napló'!$C$7:$C$133,"&gt;="&amp;B7,'Tippmix napló'!$C$7:$C$133,"&lt;"&amp;C7+1,'Tippmix napló'!$G$7:$G$133,"Veszített")</f>
        <v>0</v>
      </c>
      <c r="G7" s="29">
        <f t="shared" ref="G7:G38" si="3">IFERROR(E7/(E7+F7),0)</f>
        <v>0</v>
      </c>
      <c r="H7" s="30">
        <f>SUMIFS('Tippmix napló'!$I$7:$I$133,'Tippmix napló'!$C$7:$C$133,"&gt;="&amp;B7,'Tippmix napló'!$C$7:$C$133,"&lt;"&amp;C7+1)</f>
        <v>0</v>
      </c>
      <c r="I7" s="31">
        <f>SUMIFS('Tippmix napló'!$D$7:$D$133,'Tippmix napló'!$C$7:$C$133,"&gt;="&amp;B7,'Tippmix napló'!$C$7:$C$133,"&lt;"&amp;C7+1,'Tippmix napló'!$G$7:$G$133,"Nyert")+SUMIFS('Tippmix napló'!$D$7:$D$133,'Tippmix napló'!$C$7:$C$133,"&gt;="&amp;B7,'Tippmix napló'!$C$7:$C$133,"&lt;"&amp;C7+1,'Tippmix napló'!$G$7:$G$133,"Veszített")</f>
        <v>0</v>
      </c>
      <c r="J7" s="29">
        <f t="shared" ref="J7:J38" si="4">IFERROR(H7/I7,0)</f>
        <v>0</v>
      </c>
    </row>
    <row r="8" spans="1:15" hidden="1" x14ac:dyDescent="0.25">
      <c r="A8" s="33" t="str">
        <f t="shared" ca="1" si="0"/>
        <v>CW02</v>
      </c>
      <c r="B8" s="34">
        <f t="shared" si="1"/>
        <v>46027</v>
      </c>
      <c r="C8" s="34">
        <f t="shared" si="2"/>
        <v>46033</v>
      </c>
      <c r="D8" s="33">
        <f>COUNTIFS('Tippmix napló'!$C$7:$C$133,"&gt;="&amp;B8,'Tippmix napló'!$C$7:$C$133,"&lt;"&amp;C8+1,'Tippmix napló'!$G$7:$G$133,"Nyert")+COUNTIFS('Tippmix napló'!$C$7:$C$133,"&gt;="&amp;B8,'Tippmix napló'!$C$7:$C$133,"&lt;"&amp;C8+1,'Tippmix napló'!$G$7:$G$133,"Veszített")</f>
        <v>0</v>
      </c>
      <c r="E8" s="33">
        <f>COUNTIFS('Tippmix napló'!$C$7:$C$133,"&gt;="&amp;B8,'Tippmix napló'!$C$7:$C$133,"&lt;"&amp;C8+1,'Tippmix napló'!$G$7:$G$133,"Nyert")</f>
        <v>0</v>
      </c>
      <c r="F8" s="33">
        <f>COUNTIFS('Tippmix napló'!$C$7:$C$133,"&gt;="&amp;B8,'Tippmix napló'!$C$7:$C$133,"&lt;"&amp;C8+1,'Tippmix napló'!$G$7:$G$133,"Veszített")</f>
        <v>0</v>
      </c>
      <c r="G8" s="35">
        <f t="shared" si="3"/>
        <v>0</v>
      </c>
      <c r="H8" s="36">
        <f>SUMIFS('Tippmix napló'!$I$7:$I$133,'Tippmix napló'!$C$7:$C$133,"&gt;="&amp;B8,'Tippmix napló'!$C$7:$C$133,"&lt;"&amp;C8+1)</f>
        <v>0</v>
      </c>
      <c r="I8" s="37">
        <f>SUMIFS('Tippmix napló'!$D$7:$D$133,'Tippmix napló'!$C$7:$C$133,"&gt;="&amp;B8,'Tippmix napló'!$C$7:$C$133,"&lt;"&amp;C8+1,'Tippmix napló'!$G$7:$G$133,"Nyert")+SUMIFS('Tippmix napló'!$D$7:$D$133,'Tippmix napló'!$C$7:$C$133,"&gt;="&amp;B8,'Tippmix napló'!$C$7:$C$133,"&lt;"&amp;C8+1,'Tippmix napló'!$G$7:$G$133,"Veszített")</f>
        <v>0</v>
      </c>
      <c r="J8" s="35">
        <f t="shared" si="4"/>
        <v>0</v>
      </c>
    </row>
    <row r="9" spans="1:15" hidden="1" x14ac:dyDescent="0.25">
      <c r="A9" s="27" t="str">
        <f t="shared" ca="1" si="0"/>
        <v>CW03</v>
      </c>
      <c r="B9" s="28">
        <f t="shared" si="1"/>
        <v>46034</v>
      </c>
      <c r="C9" s="28">
        <f t="shared" si="2"/>
        <v>46040</v>
      </c>
      <c r="D9" s="27">
        <f>COUNTIFS('Tippmix napló'!$C$7:$C$133,"&gt;="&amp;B9,'Tippmix napló'!$C$7:$C$133,"&lt;"&amp;C9+1,'Tippmix napló'!$G$7:$G$133,"Nyert")+COUNTIFS('Tippmix napló'!$C$7:$C$133,"&gt;="&amp;B9,'Tippmix napló'!$C$7:$C$133,"&lt;"&amp;C9+1,'Tippmix napló'!$G$7:$G$133,"Veszített")</f>
        <v>0</v>
      </c>
      <c r="E9" s="27">
        <f>COUNTIFS('Tippmix napló'!$C$7:$C$133,"&gt;="&amp;B9,'Tippmix napló'!$C$7:$C$133,"&lt;"&amp;C9+1,'Tippmix napló'!$G$7:$G$133,"Nyert")</f>
        <v>0</v>
      </c>
      <c r="F9" s="27">
        <f>COUNTIFS('Tippmix napló'!$C$7:$C$133,"&gt;="&amp;B9,'Tippmix napló'!$C$7:$C$133,"&lt;"&amp;C9+1,'Tippmix napló'!$G$7:$G$133,"Veszített")</f>
        <v>0</v>
      </c>
      <c r="G9" s="29">
        <f t="shared" si="3"/>
        <v>0</v>
      </c>
      <c r="H9" s="30">
        <f>SUMIFS('Tippmix napló'!$I$7:$I$133,'Tippmix napló'!$C$7:$C$133,"&gt;="&amp;B9,'Tippmix napló'!$C$7:$C$133,"&lt;"&amp;C9+1)</f>
        <v>0</v>
      </c>
      <c r="I9" s="31">
        <f>SUMIFS('Tippmix napló'!$D$7:$D$133,'Tippmix napló'!$C$7:$C$133,"&gt;="&amp;B9,'Tippmix napló'!$C$7:$C$133,"&lt;"&amp;C9+1,'Tippmix napló'!$G$7:$G$133,"Nyert")+SUMIFS('Tippmix napló'!$D$7:$D$133,'Tippmix napló'!$C$7:$C$133,"&gt;="&amp;B9,'Tippmix napló'!$C$7:$C$133,"&lt;"&amp;C9+1,'Tippmix napló'!$G$7:$G$133,"Veszített")</f>
        <v>0</v>
      </c>
      <c r="J9" s="29">
        <f t="shared" si="4"/>
        <v>0</v>
      </c>
    </row>
    <row r="10" spans="1:15" hidden="1" x14ac:dyDescent="0.25">
      <c r="A10" s="33" t="str">
        <f t="shared" ca="1" si="0"/>
        <v>CW04</v>
      </c>
      <c r="B10" s="34">
        <f t="shared" si="1"/>
        <v>46041</v>
      </c>
      <c r="C10" s="34">
        <f t="shared" si="2"/>
        <v>46047</v>
      </c>
      <c r="D10" s="33">
        <f>COUNTIFS('Tippmix napló'!$C$7:$C$133,"&gt;="&amp;B10,'Tippmix napló'!$C$7:$C$133,"&lt;"&amp;C10+1,'Tippmix napló'!$G$7:$G$133,"Nyert")+COUNTIFS('Tippmix napló'!$C$7:$C$133,"&gt;="&amp;B10,'Tippmix napló'!$C$7:$C$133,"&lt;"&amp;C10+1,'Tippmix napló'!$G$7:$G$133,"Veszített")</f>
        <v>0</v>
      </c>
      <c r="E10" s="33">
        <f>COUNTIFS('Tippmix napló'!$C$7:$C$133,"&gt;="&amp;B10,'Tippmix napló'!$C$7:$C$133,"&lt;"&amp;C10+1,'Tippmix napló'!$G$7:$G$133,"Nyert")</f>
        <v>0</v>
      </c>
      <c r="F10" s="33">
        <f>COUNTIFS('Tippmix napló'!$C$7:$C$133,"&gt;="&amp;B10,'Tippmix napló'!$C$7:$C$133,"&lt;"&amp;C10+1,'Tippmix napló'!$G$7:$G$133,"Veszített")</f>
        <v>0</v>
      </c>
      <c r="G10" s="35">
        <f t="shared" si="3"/>
        <v>0</v>
      </c>
      <c r="H10" s="36">
        <f>SUMIFS('Tippmix napló'!$I$7:$I$133,'Tippmix napló'!$C$7:$C$133,"&gt;="&amp;B10,'Tippmix napló'!$C$7:$C$133,"&lt;"&amp;C10+1)</f>
        <v>0</v>
      </c>
      <c r="I10" s="37">
        <f>SUMIFS('Tippmix napló'!$D$7:$D$133,'Tippmix napló'!$C$7:$C$133,"&gt;="&amp;B10,'Tippmix napló'!$C$7:$C$133,"&lt;"&amp;C10+1,'Tippmix napló'!$G$7:$G$133,"Nyert")+SUMIFS('Tippmix napló'!$D$7:$D$133,'Tippmix napló'!$C$7:$C$133,"&gt;="&amp;B10,'Tippmix napló'!$C$7:$C$133,"&lt;"&amp;C10+1,'Tippmix napló'!$G$7:$G$133,"Veszített")</f>
        <v>0</v>
      </c>
      <c r="J10" s="35">
        <f t="shared" si="4"/>
        <v>0</v>
      </c>
    </row>
    <row r="11" spans="1:15" hidden="1" x14ac:dyDescent="0.25">
      <c r="A11" s="27" t="str">
        <f t="shared" ca="1" si="0"/>
        <v>CW05</v>
      </c>
      <c r="B11" s="28">
        <f t="shared" si="1"/>
        <v>46048</v>
      </c>
      <c r="C11" s="28">
        <f t="shared" si="2"/>
        <v>46054</v>
      </c>
      <c r="D11" s="27">
        <f>COUNTIFS('Tippmix napló'!$C$7:$C$133,"&gt;="&amp;B11,'Tippmix napló'!$C$7:$C$133,"&lt;"&amp;C11+1,'Tippmix napló'!$G$7:$G$133,"Nyert")+COUNTIFS('Tippmix napló'!$C$7:$C$133,"&gt;="&amp;B11,'Tippmix napló'!$C$7:$C$133,"&lt;"&amp;C11+1,'Tippmix napló'!$G$7:$G$133,"Veszített")</f>
        <v>0</v>
      </c>
      <c r="E11" s="27">
        <f>COUNTIFS('Tippmix napló'!$C$7:$C$133,"&gt;="&amp;B11,'Tippmix napló'!$C$7:$C$133,"&lt;"&amp;C11+1,'Tippmix napló'!$G$7:$G$133,"Nyert")</f>
        <v>0</v>
      </c>
      <c r="F11" s="27">
        <f>COUNTIFS('Tippmix napló'!$C$7:$C$133,"&gt;="&amp;B11,'Tippmix napló'!$C$7:$C$133,"&lt;"&amp;C11+1,'Tippmix napló'!$G$7:$G$133,"Veszített")</f>
        <v>0</v>
      </c>
      <c r="G11" s="29">
        <f t="shared" si="3"/>
        <v>0</v>
      </c>
      <c r="H11" s="30">
        <f>SUMIFS('Tippmix napló'!$I$7:$I$133,'Tippmix napló'!$C$7:$C$133,"&gt;="&amp;B11,'Tippmix napló'!$C$7:$C$133,"&lt;"&amp;C11+1)</f>
        <v>0</v>
      </c>
      <c r="I11" s="31">
        <f>SUMIFS('Tippmix napló'!$D$7:$D$133,'Tippmix napló'!$C$7:$C$133,"&gt;="&amp;B11,'Tippmix napló'!$C$7:$C$133,"&lt;"&amp;C11+1,'Tippmix napló'!$G$7:$G$133,"Nyert")+SUMIFS('Tippmix napló'!$D$7:$D$133,'Tippmix napló'!$C$7:$C$133,"&gt;="&amp;B11,'Tippmix napló'!$C$7:$C$133,"&lt;"&amp;C11+1,'Tippmix napló'!$G$7:$G$133,"Veszített")</f>
        <v>0</v>
      </c>
      <c r="J11" s="29">
        <f t="shared" si="4"/>
        <v>0</v>
      </c>
    </row>
    <row r="12" spans="1:15" hidden="1" x14ac:dyDescent="0.25">
      <c r="A12" s="33" t="str">
        <f t="shared" ca="1" si="0"/>
        <v>CW06</v>
      </c>
      <c r="B12" s="34">
        <f t="shared" si="1"/>
        <v>46055</v>
      </c>
      <c r="C12" s="34">
        <f t="shared" si="2"/>
        <v>46061</v>
      </c>
      <c r="D12" s="33">
        <f>COUNTIFS('Tippmix napló'!$C$7:$C$133,"&gt;="&amp;B12,'Tippmix napló'!$C$7:$C$133,"&lt;"&amp;C12+1,'Tippmix napló'!$G$7:$G$133,"Nyert")+COUNTIFS('Tippmix napló'!$C$7:$C$133,"&gt;="&amp;B12,'Tippmix napló'!$C$7:$C$133,"&lt;"&amp;C12+1,'Tippmix napló'!$G$7:$G$133,"Veszített")</f>
        <v>0</v>
      </c>
      <c r="E12" s="33">
        <f>COUNTIFS('Tippmix napló'!$C$7:$C$133,"&gt;="&amp;B12,'Tippmix napló'!$C$7:$C$133,"&lt;"&amp;C12+1,'Tippmix napló'!$G$7:$G$133,"Nyert")</f>
        <v>0</v>
      </c>
      <c r="F12" s="33">
        <f>COUNTIFS('Tippmix napló'!$C$7:$C$133,"&gt;="&amp;B12,'Tippmix napló'!$C$7:$C$133,"&lt;"&amp;C12+1,'Tippmix napló'!$G$7:$G$133,"Veszített")</f>
        <v>0</v>
      </c>
      <c r="G12" s="35">
        <f t="shared" si="3"/>
        <v>0</v>
      </c>
      <c r="H12" s="36">
        <f>SUMIFS('Tippmix napló'!$I$7:$I$133,'Tippmix napló'!$C$7:$C$133,"&gt;="&amp;B12,'Tippmix napló'!$C$7:$C$133,"&lt;"&amp;C12+1)</f>
        <v>0</v>
      </c>
      <c r="I12" s="37">
        <f>SUMIFS('Tippmix napló'!$D$7:$D$133,'Tippmix napló'!$C$7:$C$133,"&gt;="&amp;B12,'Tippmix napló'!$C$7:$C$133,"&lt;"&amp;C12+1,'Tippmix napló'!$G$7:$G$133,"Nyert")+SUMIFS('Tippmix napló'!$D$7:$D$133,'Tippmix napló'!$C$7:$C$133,"&gt;="&amp;B12,'Tippmix napló'!$C$7:$C$133,"&lt;"&amp;C12+1,'Tippmix napló'!$G$7:$G$133,"Veszített")</f>
        <v>0</v>
      </c>
      <c r="J12" s="35">
        <f t="shared" si="4"/>
        <v>0</v>
      </c>
    </row>
    <row r="13" spans="1:15" hidden="1" x14ac:dyDescent="0.25">
      <c r="A13" s="27" t="str">
        <f t="shared" ca="1" si="0"/>
        <v>CW07</v>
      </c>
      <c r="B13" s="28">
        <f t="shared" si="1"/>
        <v>46062</v>
      </c>
      <c r="C13" s="28">
        <f t="shared" si="2"/>
        <v>46068</v>
      </c>
      <c r="D13" s="27">
        <f>COUNTIFS('Tippmix napló'!$C$7:$C$133,"&gt;="&amp;B13,'Tippmix napló'!$C$7:$C$133,"&lt;"&amp;C13+1,'Tippmix napló'!$G$7:$G$133,"Nyert")+COUNTIFS('Tippmix napló'!$C$7:$C$133,"&gt;="&amp;B13,'Tippmix napló'!$C$7:$C$133,"&lt;"&amp;C13+1,'Tippmix napló'!$G$7:$G$133,"Veszített")</f>
        <v>0</v>
      </c>
      <c r="E13" s="27">
        <f>COUNTIFS('Tippmix napló'!$C$7:$C$133,"&gt;="&amp;B13,'Tippmix napló'!$C$7:$C$133,"&lt;"&amp;C13+1,'Tippmix napló'!$G$7:$G$133,"Nyert")</f>
        <v>0</v>
      </c>
      <c r="F13" s="27">
        <f>COUNTIFS('Tippmix napló'!$C$7:$C$133,"&gt;="&amp;B13,'Tippmix napló'!$C$7:$C$133,"&lt;"&amp;C13+1,'Tippmix napló'!$G$7:$G$133,"Veszített")</f>
        <v>0</v>
      </c>
      <c r="G13" s="29">
        <f t="shared" si="3"/>
        <v>0</v>
      </c>
      <c r="H13" s="30">
        <f>SUMIFS('Tippmix napló'!$I$7:$I$133,'Tippmix napló'!$C$7:$C$133,"&gt;="&amp;B13,'Tippmix napló'!$C$7:$C$133,"&lt;"&amp;C13+1)</f>
        <v>0</v>
      </c>
      <c r="I13" s="31">
        <f>SUMIFS('Tippmix napló'!$D$7:$D$133,'Tippmix napló'!$C$7:$C$133,"&gt;="&amp;B13,'Tippmix napló'!$C$7:$C$133,"&lt;"&amp;C13+1,'Tippmix napló'!$G$7:$G$133,"Nyert")+SUMIFS('Tippmix napló'!$D$7:$D$133,'Tippmix napló'!$C$7:$C$133,"&gt;="&amp;B13,'Tippmix napló'!$C$7:$C$133,"&lt;"&amp;C13+1,'Tippmix napló'!$G$7:$G$133,"Veszített")</f>
        <v>0</v>
      </c>
      <c r="J13" s="29">
        <f t="shared" si="4"/>
        <v>0</v>
      </c>
    </row>
    <row r="14" spans="1:15" hidden="1" x14ac:dyDescent="0.25">
      <c r="A14" s="33" t="str">
        <f t="shared" ca="1" si="0"/>
        <v>CW08</v>
      </c>
      <c r="B14" s="34">
        <f t="shared" si="1"/>
        <v>46069</v>
      </c>
      <c r="C14" s="34">
        <f t="shared" si="2"/>
        <v>46075</v>
      </c>
      <c r="D14" s="33">
        <f>COUNTIFS('Tippmix napló'!$C$7:$C$133,"&gt;="&amp;B14,'Tippmix napló'!$C$7:$C$133,"&lt;"&amp;C14+1,'Tippmix napló'!$G$7:$G$133,"Nyert")+COUNTIFS('Tippmix napló'!$C$7:$C$133,"&gt;="&amp;B14,'Tippmix napló'!$C$7:$C$133,"&lt;"&amp;C14+1,'Tippmix napló'!$G$7:$G$133,"Veszített")</f>
        <v>0</v>
      </c>
      <c r="E14" s="33">
        <f>COUNTIFS('Tippmix napló'!$C$7:$C$133,"&gt;="&amp;B14,'Tippmix napló'!$C$7:$C$133,"&lt;"&amp;C14+1,'Tippmix napló'!$G$7:$G$133,"Nyert")</f>
        <v>0</v>
      </c>
      <c r="F14" s="33">
        <f>COUNTIFS('Tippmix napló'!$C$7:$C$133,"&gt;="&amp;B14,'Tippmix napló'!$C$7:$C$133,"&lt;"&amp;C14+1,'Tippmix napló'!$G$7:$G$133,"Veszített")</f>
        <v>0</v>
      </c>
      <c r="G14" s="35">
        <f t="shared" si="3"/>
        <v>0</v>
      </c>
      <c r="H14" s="36">
        <f>SUMIFS('Tippmix napló'!$I$7:$I$133,'Tippmix napló'!$C$7:$C$133,"&gt;="&amp;B14,'Tippmix napló'!$C$7:$C$133,"&lt;"&amp;C14+1)</f>
        <v>0</v>
      </c>
      <c r="I14" s="37">
        <f>SUMIFS('Tippmix napló'!$D$7:$D$133,'Tippmix napló'!$C$7:$C$133,"&gt;="&amp;B14,'Tippmix napló'!$C$7:$C$133,"&lt;"&amp;C14+1,'Tippmix napló'!$G$7:$G$133,"Nyert")+SUMIFS('Tippmix napló'!$D$7:$D$133,'Tippmix napló'!$C$7:$C$133,"&gt;="&amp;B14,'Tippmix napló'!$C$7:$C$133,"&lt;"&amp;C14+1,'Tippmix napló'!$G$7:$G$133,"Veszített")</f>
        <v>0</v>
      </c>
      <c r="J14" s="35">
        <f t="shared" si="4"/>
        <v>0</v>
      </c>
    </row>
    <row r="15" spans="1:15" hidden="1" x14ac:dyDescent="0.25">
      <c r="A15" s="27" t="str">
        <f t="shared" ca="1" si="0"/>
        <v>CW09</v>
      </c>
      <c r="B15" s="28">
        <f t="shared" si="1"/>
        <v>46076</v>
      </c>
      <c r="C15" s="28">
        <f t="shared" si="2"/>
        <v>46082</v>
      </c>
      <c r="D15" s="27">
        <f>COUNTIFS('Tippmix napló'!$C$7:$C$133,"&gt;="&amp;B15,'Tippmix napló'!$C$7:$C$133,"&lt;"&amp;C15+1,'Tippmix napló'!$G$7:$G$133,"Nyert")+COUNTIFS('Tippmix napló'!$C$7:$C$133,"&gt;="&amp;B15,'Tippmix napló'!$C$7:$C$133,"&lt;"&amp;C15+1,'Tippmix napló'!$G$7:$G$133,"Veszített")</f>
        <v>0</v>
      </c>
      <c r="E15" s="27">
        <f>COUNTIFS('Tippmix napló'!$C$7:$C$133,"&gt;="&amp;B15,'Tippmix napló'!$C$7:$C$133,"&lt;"&amp;C15+1,'Tippmix napló'!$G$7:$G$133,"Nyert")</f>
        <v>0</v>
      </c>
      <c r="F15" s="27">
        <f>COUNTIFS('Tippmix napló'!$C$7:$C$133,"&gt;="&amp;B15,'Tippmix napló'!$C$7:$C$133,"&lt;"&amp;C15+1,'Tippmix napló'!$G$7:$G$133,"Veszített")</f>
        <v>0</v>
      </c>
      <c r="G15" s="29">
        <f t="shared" si="3"/>
        <v>0</v>
      </c>
      <c r="H15" s="30">
        <f>SUMIFS('Tippmix napló'!$I$7:$I$133,'Tippmix napló'!$C$7:$C$133,"&gt;="&amp;B15,'Tippmix napló'!$C$7:$C$133,"&lt;"&amp;C15+1)</f>
        <v>0</v>
      </c>
      <c r="I15" s="31">
        <f>SUMIFS('Tippmix napló'!$D$7:$D$133,'Tippmix napló'!$C$7:$C$133,"&gt;="&amp;B15,'Tippmix napló'!$C$7:$C$133,"&lt;"&amp;C15+1,'Tippmix napló'!$G$7:$G$133,"Nyert")+SUMIFS('Tippmix napló'!$D$7:$D$133,'Tippmix napló'!$C$7:$C$133,"&gt;="&amp;B15,'Tippmix napló'!$C$7:$C$133,"&lt;"&amp;C15+1,'Tippmix napló'!$G$7:$G$133,"Veszített")</f>
        <v>0</v>
      </c>
      <c r="J15" s="29">
        <f t="shared" si="4"/>
        <v>0</v>
      </c>
    </row>
    <row r="16" spans="1:15" hidden="1" x14ac:dyDescent="0.25">
      <c r="A16" s="33" t="str">
        <f t="shared" ca="1" si="0"/>
        <v>CW10</v>
      </c>
      <c r="B16" s="34">
        <f t="shared" si="1"/>
        <v>46083</v>
      </c>
      <c r="C16" s="34">
        <f t="shared" si="2"/>
        <v>46089</v>
      </c>
      <c r="D16" s="33">
        <f>COUNTIFS('Tippmix napló'!$C$7:$C$133,"&gt;="&amp;B16,'Tippmix napló'!$C$7:$C$133,"&lt;"&amp;C16+1,'Tippmix napló'!$G$7:$G$133,"Nyert")+COUNTIFS('Tippmix napló'!$C$7:$C$133,"&gt;="&amp;B16,'Tippmix napló'!$C$7:$C$133,"&lt;"&amp;C16+1,'Tippmix napló'!$G$7:$G$133,"Veszített")</f>
        <v>0</v>
      </c>
      <c r="E16" s="33">
        <f>COUNTIFS('Tippmix napló'!$C$7:$C$133,"&gt;="&amp;B16,'Tippmix napló'!$C$7:$C$133,"&lt;"&amp;C16+1,'Tippmix napló'!$G$7:$G$133,"Nyert")</f>
        <v>0</v>
      </c>
      <c r="F16" s="33">
        <f>COUNTIFS('Tippmix napló'!$C$7:$C$133,"&gt;="&amp;B16,'Tippmix napló'!$C$7:$C$133,"&lt;"&amp;C16+1,'Tippmix napló'!$G$7:$G$133,"Veszített")</f>
        <v>0</v>
      </c>
      <c r="G16" s="35">
        <f t="shared" si="3"/>
        <v>0</v>
      </c>
      <c r="H16" s="36">
        <f>SUMIFS('Tippmix napló'!$I$7:$I$133,'Tippmix napló'!$C$7:$C$133,"&gt;="&amp;B16,'Tippmix napló'!$C$7:$C$133,"&lt;"&amp;C16+1)</f>
        <v>0</v>
      </c>
      <c r="I16" s="37">
        <f>SUMIFS('Tippmix napló'!$D$7:$D$133,'Tippmix napló'!$C$7:$C$133,"&gt;="&amp;B16,'Tippmix napló'!$C$7:$C$133,"&lt;"&amp;C16+1,'Tippmix napló'!$G$7:$G$133,"Nyert")+SUMIFS('Tippmix napló'!$D$7:$D$133,'Tippmix napló'!$C$7:$C$133,"&gt;="&amp;B16,'Tippmix napló'!$C$7:$C$133,"&lt;"&amp;C16+1,'Tippmix napló'!$G$7:$G$133,"Veszített")</f>
        <v>0</v>
      </c>
      <c r="J16" s="35">
        <f t="shared" si="4"/>
        <v>0</v>
      </c>
    </row>
    <row r="17" spans="1:10" hidden="1" x14ac:dyDescent="0.25">
      <c r="A17" s="27" t="str">
        <f t="shared" ca="1" si="0"/>
        <v>CW11</v>
      </c>
      <c r="B17" s="28">
        <f t="shared" si="1"/>
        <v>46090</v>
      </c>
      <c r="C17" s="28">
        <f t="shared" si="2"/>
        <v>46096</v>
      </c>
      <c r="D17" s="27">
        <f>COUNTIFS('Tippmix napló'!$C$7:$C$133,"&gt;="&amp;B17,'Tippmix napló'!$C$7:$C$133,"&lt;"&amp;C17+1,'Tippmix napló'!$G$7:$G$133,"Nyert")+COUNTIFS('Tippmix napló'!$C$7:$C$133,"&gt;="&amp;B17,'Tippmix napló'!$C$7:$C$133,"&lt;"&amp;C17+1,'Tippmix napló'!$G$7:$G$133,"Veszített")</f>
        <v>0</v>
      </c>
      <c r="E17" s="27">
        <f>COUNTIFS('Tippmix napló'!$C$7:$C$133,"&gt;="&amp;B17,'Tippmix napló'!$C$7:$C$133,"&lt;"&amp;C17+1,'Tippmix napló'!$G$7:$G$133,"Nyert")</f>
        <v>0</v>
      </c>
      <c r="F17" s="27">
        <f>COUNTIFS('Tippmix napló'!$C$7:$C$133,"&gt;="&amp;B17,'Tippmix napló'!$C$7:$C$133,"&lt;"&amp;C17+1,'Tippmix napló'!$G$7:$G$133,"Veszített")</f>
        <v>0</v>
      </c>
      <c r="G17" s="29">
        <f t="shared" si="3"/>
        <v>0</v>
      </c>
      <c r="H17" s="30">
        <f>SUMIFS('Tippmix napló'!$I$7:$I$133,'Tippmix napló'!$C$7:$C$133,"&gt;="&amp;B17,'Tippmix napló'!$C$7:$C$133,"&lt;"&amp;C17+1)</f>
        <v>0</v>
      </c>
      <c r="I17" s="31">
        <f>SUMIFS('Tippmix napló'!$D$7:$D$133,'Tippmix napló'!$C$7:$C$133,"&gt;="&amp;B17,'Tippmix napló'!$C$7:$C$133,"&lt;"&amp;C17+1,'Tippmix napló'!$G$7:$G$133,"Nyert")+SUMIFS('Tippmix napló'!$D$7:$D$133,'Tippmix napló'!$C$7:$C$133,"&gt;="&amp;B17,'Tippmix napló'!$C$7:$C$133,"&lt;"&amp;C17+1,'Tippmix napló'!$G$7:$G$133,"Veszített")</f>
        <v>0</v>
      </c>
      <c r="J17" s="29">
        <f t="shared" si="4"/>
        <v>0</v>
      </c>
    </row>
    <row r="18" spans="1:10" hidden="1" x14ac:dyDescent="0.25">
      <c r="A18" s="33" t="str">
        <f t="shared" ca="1" si="0"/>
        <v>CW12</v>
      </c>
      <c r="B18" s="34">
        <f t="shared" si="1"/>
        <v>46097</v>
      </c>
      <c r="C18" s="34">
        <f t="shared" si="2"/>
        <v>46103</v>
      </c>
      <c r="D18" s="33">
        <f>COUNTIFS('Tippmix napló'!$C$7:$C$133,"&gt;="&amp;B18,'Tippmix napló'!$C$7:$C$133,"&lt;"&amp;C18+1,'Tippmix napló'!$G$7:$G$133,"Nyert")+COUNTIFS('Tippmix napló'!$C$7:$C$133,"&gt;="&amp;B18,'Tippmix napló'!$C$7:$C$133,"&lt;"&amp;C18+1,'Tippmix napló'!$G$7:$G$133,"Veszített")</f>
        <v>0</v>
      </c>
      <c r="E18" s="33">
        <f>COUNTIFS('Tippmix napló'!$C$7:$C$133,"&gt;="&amp;B18,'Tippmix napló'!$C$7:$C$133,"&lt;"&amp;C18+1,'Tippmix napló'!$G$7:$G$133,"Nyert")</f>
        <v>0</v>
      </c>
      <c r="F18" s="33">
        <f>COUNTIFS('Tippmix napló'!$C$7:$C$133,"&gt;="&amp;B18,'Tippmix napló'!$C$7:$C$133,"&lt;"&amp;C18+1,'Tippmix napló'!$G$7:$G$133,"Veszített")</f>
        <v>0</v>
      </c>
      <c r="G18" s="35">
        <f t="shared" si="3"/>
        <v>0</v>
      </c>
      <c r="H18" s="36">
        <f>SUMIFS('Tippmix napló'!$I$7:$I$133,'Tippmix napló'!$C$7:$C$133,"&gt;="&amp;B18,'Tippmix napló'!$C$7:$C$133,"&lt;"&amp;C18+1)</f>
        <v>0</v>
      </c>
      <c r="I18" s="37">
        <f>SUMIFS('Tippmix napló'!$D$7:$D$133,'Tippmix napló'!$C$7:$C$133,"&gt;="&amp;B18,'Tippmix napló'!$C$7:$C$133,"&lt;"&amp;C18+1,'Tippmix napló'!$G$7:$G$133,"Nyert")+SUMIFS('Tippmix napló'!$D$7:$D$133,'Tippmix napló'!$C$7:$C$133,"&gt;="&amp;B18,'Tippmix napló'!$C$7:$C$133,"&lt;"&amp;C18+1,'Tippmix napló'!$G$7:$G$133,"Veszített")</f>
        <v>0</v>
      </c>
      <c r="J18" s="35">
        <f t="shared" si="4"/>
        <v>0</v>
      </c>
    </row>
    <row r="19" spans="1:10" hidden="1" x14ac:dyDescent="0.25">
      <c r="A19" s="27" t="str">
        <f t="shared" ca="1" si="0"/>
        <v>CW13</v>
      </c>
      <c r="B19" s="28">
        <f t="shared" si="1"/>
        <v>46104</v>
      </c>
      <c r="C19" s="28">
        <f t="shared" si="2"/>
        <v>46110</v>
      </c>
      <c r="D19" s="27">
        <f>COUNTIFS('Tippmix napló'!$C$7:$C$133,"&gt;="&amp;B19,'Tippmix napló'!$C$7:$C$133,"&lt;"&amp;C19+1,'Tippmix napló'!$G$7:$G$133,"Nyert")+COUNTIFS('Tippmix napló'!$C$7:$C$133,"&gt;="&amp;B19,'Tippmix napló'!$C$7:$C$133,"&lt;"&amp;C19+1,'Tippmix napló'!$G$7:$G$133,"Veszített")</f>
        <v>0</v>
      </c>
      <c r="E19" s="27">
        <f>COUNTIFS('Tippmix napló'!$C$7:$C$133,"&gt;="&amp;B19,'Tippmix napló'!$C$7:$C$133,"&lt;"&amp;C19+1,'Tippmix napló'!$G$7:$G$133,"Nyert")</f>
        <v>0</v>
      </c>
      <c r="F19" s="27">
        <f>COUNTIFS('Tippmix napló'!$C$7:$C$133,"&gt;="&amp;B19,'Tippmix napló'!$C$7:$C$133,"&lt;"&amp;C19+1,'Tippmix napló'!$G$7:$G$133,"Veszített")</f>
        <v>0</v>
      </c>
      <c r="G19" s="29">
        <f t="shared" si="3"/>
        <v>0</v>
      </c>
      <c r="H19" s="30">
        <f>SUMIFS('Tippmix napló'!$I$7:$I$133,'Tippmix napló'!$C$7:$C$133,"&gt;="&amp;B19,'Tippmix napló'!$C$7:$C$133,"&lt;"&amp;C19+1)</f>
        <v>0</v>
      </c>
      <c r="I19" s="31">
        <f>SUMIFS('Tippmix napló'!$D$7:$D$133,'Tippmix napló'!$C$7:$C$133,"&gt;="&amp;B19,'Tippmix napló'!$C$7:$C$133,"&lt;"&amp;C19+1,'Tippmix napló'!$G$7:$G$133,"Nyert")+SUMIFS('Tippmix napló'!$D$7:$D$133,'Tippmix napló'!$C$7:$C$133,"&gt;="&amp;B19,'Tippmix napló'!$C$7:$C$133,"&lt;"&amp;C19+1,'Tippmix napló'!$G$7:$G$133,"Veszített")</f>
        <v>0</v>
      </c>
      <c r="J19" s="29">
        <f t="shared" si="4"/>
        <v>0</v>
      </c>
    </row>
    <row r="20" spans="1:10" hidden="1" x14ac:dyDescent="0.25">
      <c r="A20" s="33" t="str">
        <f t="shared" ca="1" si="0"/>
        <v>CW14</v>
      </c>
      <c r="B20" s="34">
        <f t="shared" si="1"/>
        <v>46111</v>
      </c>
      <c r="C20" s="34">
        <f t="shared" si="2"/>
        <v>46117</v>
      </c>
      <c r="D20" s="33">
        <f>COUNTIFS('Tippmix napló'!$C$7:$C$133,"&gt;="&amp;B20,'Tippmix napló'!$C$7:$C$133,"&lt;"&amp;C20+1,'Tippmix napló'!$G$7:$G$133,"Nyert")+COUNTIFS('Tippmix napló'!$C$7:$C$133,"&gt;="&amp;B20,'Tippmix napló'!$C$7:$C$133,"&lt;"&amp;C20+1,'Tippmix napló'!$G$7:$G$133,"Veszített")</f>
        <v>0</v>
      </c>
      <c r="E20" s="33">
        <f>COUNTIFS('Tippmix napló'!$C$7:$C$133,"&gt;="&amp;B20,'Tippmix napló'!$C$7:$C$133,"&lt;"&amp;C20+1,'Tippmix napló'!$G$7:$G$133,"Nyert")</f>
        <v>0</v>
      </c>
      <c r="F20" s="33">
        <f>COUNTIFS('Tippmix napló'!$C$7:$C$133,"&gt;="&amp;B20,'Tippmix napló'!$C$7:$C$133,"&lt;"&amp;C20+1,'Tippmix napló'!$G$7:$G$133,"Veszített")</f>
        <v>0</v>
      </c>
      <c r="G20" s="35">
        <f t="shared" si="3"/>
        <v>0</v>
      </c>
      <c r="H20" s="36">
        <f>SUMIFS('Tippmix napló'!$I$7:$I$133,'Tippmix napló'!$C$7:$C$133,"&gt;="&amp;B20,'Tippmix napló'!$C$7:$C$133,"&lt;"&amp;C20+1)</f>
        <v>0</v>
      </c>
      <c r="I20" s="37">
        <f>SUMIFS('Tippmix napló'!$D$7:$D$133,'Tippmix napló'!$C$7:$C$133,"&gt;="&amp;B20,'Tippmix napló'!$C$7:$C$133,"&lt;"&amp;C20+1,'Tippmix napló'!$G$7:$G$133,"Nyert")+SUMIFS('Tippmix napló'!$D$7:$D$133,'Tippmix napló'!$C$7:$C$133,"&gt;="&amp;B20,'Tippmix napló'!$C$7:$C$133,"&lt;"&amp;C20+1,'Tippmix napló'!$G$7:$G$133,"Veszített")</f>
        <v>0</v>
      </c>
      <c r="J20" s="35">
        <f t="shared" si="4"/>
        <v>0</v>
      </c>
    </row>
    <row r="21" spans="1:10" hidden="1" x14ac:dyDescent="0.25">
      <c r="A21" s="27" t="str">
        <f t="shared" ca="1" si="0"/>
        <v>CW15</v>
      </c>
      <c r="B21" s="28">
        <f t="shared" si="1"/>
        <v>46118</v>
      </c>
      <c r="C21" s="28">
        <f t="shared" si="2"/>
        <v>46124</v>
      </c>
      <c r="D21" s="27">
        <f>COUNTIFS('Tippmix napló'!$C$7:$C$133,"&gt;="&amp;B21,'Tippmix napló'!$C$7:$C$133,"&lt;"&amp;C21+1,'Tippmix napló'!$G$7:$G$133,"Nyert")+COUNTIFS('Tippmix napló'!$C$7:$C$133,"&gt;="&amp;B21,'Tippmix napló'!$C$7:$C$133,"&lt;"&amp;C21+1,'Tippmix napló'!$G$7:$G$133,"Veszített")</f>
        <v>0</v>
      </c>
      <c r="E21" s="27">
        <f>COUNTIFS('Tippmix napló'!$C$7:$C$133,"&gt;="&amp;B21,'Tippmix napló'!$C$7:$C$133,"&lt;"&amp;C21+1,'Tippmix napló'!$G$7:$G$133,"Nyert")</f>
        <v>0</v>
      </c>
      <c r="F21" s="27">
        <f>COUNTIFS('Tippmix napló'!$C$7:$C$133,"&gt;="&amp;B21,'Tippmix napló'!$C$7:$C$133,"&lt;"&amp;C21+1,'Tippmix napló'!$G$7:$G$133,"Veszített")</f>
        <v>0</v>
      </c>
      <c r="G21" s="29">
        <f t="shared" si="3"/>
        <v>0</v>
      </c>
      <c r="H21" s="30">
        <f>SUMIFS('Tippmix napló'!$I$7:$I$133,'Tippmix napló'!$C$7:$C$133,"&gt;="&amp;B21,'Tippmix napló'!$C$7:$C$133,"&lt;"&amp;C21+1)</f>
        <v>0</v>
      </c>
      <c r="I21" s="31">
        <f>SUMIFS('Tippmix napló'!$D$7:$D$133,'Tippmix napló'!$C$7:$C$133,"&gt;="&amp;B21,'Tippmix napló'!$C$7:$C$133,"&lt;"&amp;C21+1,'Tippmix napló'!$G$7:$G$133,"Nyert")+SUMIFS('Tippmix napló'!$D$7:$D$133,'Tippmix napló'!$C$7:$C$133,"&gt;="&amp;B21,'Tippmix napló'!$C$7:$C$133,"&lt;"&amp;C21+1,'Tippmix napló'!$G$7:$G$133,"Veszített")</f>
        <v>0</v>
      </c>
      <c r="J21" s="29">
        <f t="shared" si="4"/>
        <v>0</v>
      </c>
    </row>
    <row r="22" spans="1:10" hidden="1" x14ac:dyDescent="0.25">
      <c r="A22" s="33" t="str">
        <f t="shared" ca="1" si="0"/>
        <v>CW16</v>
      </c>
      <c r="B22" s="34">
        <f t="shared" si="1"/>
        <v>46125</v>
      </c>
      <c r="C22" s="34">
        <f t="shared" si="2"/>
        <v>46131</v>
      </c>
      <c r="D22" s="33">
        <f>COUNTIFS('Tippmix napló'!$C$7:$C$133,"&gt;="&amp;B22,'Tippmix napló'!$C$7:$C$133,"&lt;"&amp;C22+1,'Tippmix napló'!$G$7:$G$133,"Nyert")+COUNTIFS('Tippmix napló'!$C$7:$C$133,"&gt;="&amp;B22,'Tippmix napló'!$C$7:$C$133,"&lt;"&amp;C22+1,'Tippmix napló'!$G$7:$G$133,"Veszített")</f>
        <v>0</v>
      </c>
      <c r="E22" s="33">
        <f>COUNTIFS('Tippmix napló'!$C$7:$C$133,"&gt;="&amp;B22,'Tippmix napló'!$C$7:$C$133,"&lt;"&amp;C22+1,'Tippmix napló'!$G$7:$G$133,"Nyert")</f>
        <v>0</v>
      </c>
      <c r="F22" s="33">
        <f>COUNTIFS('Tippmix napló'!$C$7:$C$133,"&gt;="&amp;B22,'Tippmix napló'!$C$7:$C$133,"&lt;"&amp;C22+1,'Tippmix napló'!$G$7:$G$133,"Veszített")</f>
        <v>0</v>
      </c>
      <c r="G22" s="35">
        <f t="shared" si="3"/>
        <v>0</v>
      </c>
      <c r="H22" s="36">
        <f>SUMIFS('Tippmix napló'!$I$7:$I$133,'Tippmix napló'!$C$7:$C$133,"&gt;="&amp;B22,'Tippmix napló'!$C$7:$C$133,"&lt;"&amp;C22+1)</f>
        <v>0</v>
      </c>
      <c r="I22" s="37">
        <f>SUMIFS('Tippmix napló'!$D$7:$D$133,'Tippmix napló'!$C$7:$C$133,"&gt;="&amp;B22,'Tippmix napló'!$C$7:$C$133,"&lt;"&amp;C22+1,'Tippmix napló'!$G$7:$G$133,"Nyert")+SUMIFS('Tippmix napló'!$D$7:$D$133,'Tippmix napló'!$C$7:$C$133,"&gt;="&amp;B22,'Tippmix napló'!$C$7:$C$133,"&lt;"&amp;C22+1,'Tippmix napló'!$G$7:$G$133,"Veszített")</f>
        <v>0</v>
      </c>
      <c r="J22" s="35">
        <f t="shared" si="4"/>
        <v>0</v>
      </c>
    </row>
    <row r="23" spans="1:10" hidden="1" x14ac:dyDescent="0.25">
      <c r="A23" s="27" t="str">
        <f t="shared" ca="1" si="0"/>
        <v>CW17</v>
      </c>
      <c r="B23" s="28">
        <f t="shared" si="1"/>
        <v>46132</v>
      </c>
      <c r="C23" s="28">
        <f t="shared" si="2"/>
        <v>46138</v>
      </c>
      <c r="D23" s="27">
        <f>COUNTIFS('Tippmix napló'!$C$7:$C$133,"&gt;="&amp;B23,'Tippmix napló'!$C$7:$C$133,"&lt;"&amp;C23+1,'Tippmix napló'!$G$7:$G$133,"Nyert")+COUNTIFS('Tippmix napló'!$C$7:$C$133,"&gt;="&amp;B23,'Tippmix napló'!$C$7:$C$133,"&lt;"&amp;C23+1,'Tippmix napló'!$G$7:$G$133,"Veszített")</f>
        <v>0</v>
      </c>
      <c r="E23" s="27">
        <f>COUNTIFS('Tippmix napló'!$C$7:$C$133,"&gt;="&amp;B23,'Tippmix napló'!$C$7:$C$133,"&lt;"&amp;C23+1,'Tippmix napló'!$G$7:$G$133,"Nyert")</f>
        <v>0</v>
      </c>
      <c r="F23" s="27">
        <f>COUNTIFS('Tippmix napló'!$C$7:$C$133,"&gt;="&amp;B23,'Tippmix napló'!$C$7:$C$133,"&lt;"&amp;C23+1,'Tippmix napló'!$G$7:$G$133,"Veszített")</f>
        <v>0</v>
      </c>
      <c r="G23" s="29">
        <f t="shared" si="3"/>
        <v>0</v>
      </c>
      <c r="H23" s="30">
        <f>SUMIFS('Tippmix napló'!$I$7:$I$133,'Tippmix napló'!$C$7:$C$133,"&gt;="&amp;B23,'Tippmix napló'!$C$7:$C$133,"&lt;"&amp;C23+1)</f>
        <v>0</v>
      </c>
      <c r="I23" s="31">
        <f>SUMIFS('Tippmix napló'!$D$7:$D$133,'Tippmix napló'!$C$7:$C$133,"&gt;="&amp;B23,'Tippmix napló'!$C$7:$C$133,"&lt;"&amp;C23+1,'Tippmix napló'!$G$7:$G$133,"Nyert")+SUMIFS('Tippmix napló'!$D$7:$D$133,'Tippmix napló'!$C$7:$C$133,"&gt;="&amp;B23,'Tippmix napló'!$C$7:$C$133,"&lt;"&amp;C23+1,'Tippmix napló'!$G$7:$G$133,"Veszített")</f>
        <v>0</v>
      </c>
      <c r="J23" s="29">
        <f t="shared" si="4"/>
        <v>0</v>
      </c>
    </row>
    <row r="24" spans="1:10" hidden="1" x14ac:dyDescent="0.25">
      <c r="A24" s="33" t="str">
        <f t="shared" ca="1" si="0"/>
        <v>CW18</v>
      </c>
      <c r="B24" s="34">
        <f t="shared" si="1"/>
        <v>46139</v>
      </c>
      <c r="C24" s="34">
        <f t="shared" si="2"/>
        <v>46145</v>
      </c>
      <c r="D24" s="33">
        <f>COUNTIFS('Tippmix napló'!$C$7:$C$133,"&gt;="&amp;B24,'Tippmix napló'!$C$7:$C$133,"&lt;"&amp;C24+1,'Tippmix napló'!$G$7:$G$133,"Nyert")+COUNTIFS('Tippmix napló'!$C$7:$C$133,"&gt;="&amp;B24,'Tippmix napló'!$C$7:$C$133,"&lt;"&amp;C24+1,'Tippmix napló'!$G$7:$G$133,"Veszített")</f>
        <v>0</v>
      </c>
      <c r="E24" s="33">
        <f>COUNTIFS('Tippmix napló'!$C$7:$C$133,"&gt;="&amp;B24,'Tippmix napló'!$C$7:$C$133,"&lt;"&amp;C24+1,'Tippmix napló'!$G$7:$G$133,"Nyert")</f>
        <v>0</v>
      </c>
      <c r="F24" s="33">
        <f>COUNTIFS('Tippmix napló'!$C$7:$C$133,"&gt;="&amp;B24,'Tippmix napló'!$C$7:$C$133,"&lt;"&amp;C24+1,'Tippmix napló'!$G$7:$G$133,"Veszített")</f>
        <v>0</v>
      </c>
      <c r="G24" s="35">
        <f t="shared" si="3"/>
        <v>0</v>
      </c>
      <c r="H24" s="36">
        <f>SUMIFS('Tippmix napló'!$I$7:$I$133,'Tippmix napló'!$C$7:$C$133,"&gt;="&amp;B24,'Tippmix napló'!$C$7:$C$133,"&lt;"&amp;C24+1)</f>
        <v>0</v>
      </c>
      <c r="I24" s="37">
        <f>SUMIFS('Tippmix napló'!$D$7:$D$133,'Tippmix napló'!$C$7:$C$133,"&gt;="&amp;B24,'Tippmix napló'!$C$7:$C$133,"&lt;"&amp;C24+1,'Tippmix napló'!$G$7:$G$133,"Nyert")+SUMIFS('Tippmix napló'!$D$7:$D$133,'Tippmix napló'!$C$7:$C$133,"&gt;="&amp;B24,'Tippmix napló'!$C$7:$C$133,"&lt;"&amp;C24+1,'Tippmix napló'!$G$7:$G$133,"Veszített")</f>
        <v>0</v>
      </c>
      <c r="J24" s="35">
        <f t="shared" si="4"/>
        <v>0</v>
      </c>
    </row>
    <row r="25" spans="1:10" hidden="1" x14ac:dyDescent="0.25">
      <c r="A25" s="27" t="str">
        <f t="shared" ca="1" si="0"/>
        <v>CW19</v>
      </c>
      <c r="B25" s="28">
        <f t="shared" si="1"/>
        <v>46146</v>
      </c>
      <c r="C25" s="28">
        <f t="shared" si="2"/>
        <v>46152</v>
      </c>
      <c r="D25" s="27">
        <f>COUNTIFS('Tippmix napló'!$C$7:$C$133,"&gt;="&amp;B25,'Tippmix napló'!$C$7:$C$133,"&lt;"&amp;C25+1,'Tippmix napló'!$G$7:$G$133,"Nyert")+COUNTIFS('Tippmix napló'!$C$7:$C$133,"&gt;="&amp;B25,'Tippmix napló'!$C$7:$C$133,"&lt;"&amp;C25+1,'Tippmix napló'!$G$7:$G$133,"Veszített")</f>
        <v>0</v>
      </c>
      <c r="E25" s="27">
        <f>COUNTIFS('Tippmix napló'!$C$7:$C$133,"&gt;="&amp;B25,'Tippmix napló'!$C$7:$C$133,"&lt;"&amp;C25+1,'Tippmix napló'!$G$7:$G$133,"Nyert")</f>
        <v>0</v>
      </c>
      <c r="F25" s="27">
        <f>COUNTIFS('Tippmix napló'!$C$7:$C$133,"&gt;="&amp;B25,'Tippmix napló'!$C$7:$C$133,"&lt;"&amp;C25+1,'Tippmix napló'!$G$7:$G$133,"Veszített")</f>
        <v>0</v>
      </c>
      <c r="G25" s="29">
        <f t="shared" si="3"/>
        <v>0</v>
      </c>
      <c r="H25" s="30">
        <f>SUMIFS('Tippmix napló'!$I$7:$I$133,'Tippmix napló'!$C$7:$C$133,"&gt;="&amp;B25,'Tippmix napló'!$C$7:$C$133,"&lt;"&amp;C25+1)</f>
        <v>0</v>
      </c>
      <c r="I25" s="31">
        <f>SUMIFS('Tippmix napló'!$D$7:$D$133,'Tippmix napló'!$C$7:$C$133,"&gt;="&amp;B25,'Tippmix napló'!$C$7:$C$133,"&lt;"&amp;C25+1,'Tippmix napló'!$G$7:$G$133,"Nyert")+SUMIFS('Tippmix napló'!$D$7:$D$133,'Tippmix napló'!$C$7:$C$133,"&gt;="&amp;B25,'Tippmix napló'!$C$7:$C$133,"&lt;"&amp;C25+1,'Tippmix napló'!$G$7:$G$133,"Veszített")</f>
        <v>0</v>
      </c>
      <c r="J25" s="29">
        <f t="shared" si="4"/>
        <v>0</v>
      </c>
    </row>
    <row r="26" spans="1:10" hidden="1" x14ac:dyDescent="0.25">
      <c r="A26" s="33" t="str">
        <f t="shared" ca="1" si="0"/>
        <v>CW20</v>
      </c>
      <c r="B26" s="34">
        <f t="shared" si="1"/>
        <v>46153</v>
      </c>
      <c r="C26" s="34">
        <f t="shared" si="2"/>
        <v>46159</v>
      </c>
      <c r="D26" s="33">
        <f>COUNTIFS('Tippmix napló'!$C$7:$C$133,"&gt;="&amp;B26,'Tippmix napló'!$C$7:$C$133,"&lt;"&amp;C26+1,'Tippmix napló'!$G$7:$G$133,"Nyert")+COUNTIFS('Tippmix napló'!$C$7:$C$133,"&gt;="&amp;B26,'Tippmix napló'!$C$7:$C$133,"&lt;"&amp;C26+1,'Tippmix napló'!$G$7:$G$133,"Veszített")</f>
        <v>0</v>
      </c>
      <c r="E26" s="33">
        <f>COUNTIFS('Tippmix napló'!$C$7:$C$133,"&gt;="&amp;B26,'Tippmix napló'!$C$7:$C$133,"&lt;"&amp;C26+1,'Tippmix napló'!$G$7:$G$133,"Nyert")</f>
        <v>0</v>
      </c>
      <c r="F26" s="33">
        <f>COUNTIFS('Tippmix napló'!$C$7:$C$133,"&gt;="&amp;B26,'Tippmix napló'!$C$7:$C$133,"&lt;"&amp;C26+1,'Tippmix napló'!$G$7:$G$133,"Veszített")</f>
        <v>0</v>
      </c>
      <c r="G26" s="35">
        <f t="shared" si="3"/>
        <v>0</v>
      </c>
      <c r="H26" s="36">
        <f>SUMIFS('Tippmix napló'!$I$7:$I$133,'Tippmix napló'!$C$7:$C$133,"&gt;="&amp;B26,'Tippmix napló'!$C$7:$C$133,"&lt;"&amp;C26+1)</f>
        <v>0</v>
      </c>
      <c r="I26" s="37">
        <f>SUMIFS('Tippmix napló'!$D$7:$D$133,'Tippmix napló'!$C$7:$C$133,"&gt;="&amp;B26,'Tippmix napló'!$C$7:$C$133,"&lt;"&amp;C26+1,'Tippmix napló'!$G$7:$G$133,"Nyert")+SUMIFS('Tippmix napló'!$D$7:$D$133,'Tippmix napló'!$C$7:$C$133,"&gt;="&amp;B26,'Tippmix napló'!$C$7:$C$133,"&lt;"&amp;C26+1,'Tippmix napló'!$G$7:$G$133,"Veszített")</f>
        <v>0</v>
      </c>
      <c r="J26" s="35">
        <f t="shared" si="4"/>
        <v>0</v>
      </c>
    </row>
    <row r="27" spans="1:10" hidden="1" x14ac:dyDescent="0.25">
      <c r="A27" s="27" t="str">
        <f t="shared" ca="1" si="0"/>
        <v>CW21</v>
      </c>
      <c r="B27" s="28">
        <f t="shared" si="1"/>
        <v>46160</v>
      </c>
      <c r="C27" s="28">
        <f t="shared" si="2"/>
        <v>46166</v>
      </c>
      <c r="D27" s="27">
        <f>COUNTIFS('Tippmix napló'!$C$7:$C$133,"&gt;="&amp;B27,'Tippmix napló'!$C$7:$C$133,"&lt;"&amp;C27+1,'Tippmix napló'!$G$7:$G$133,"Nyert")+COUNTIFS('Tippmix napló'!$C$7:$C$133,"&gt;="&amp;B27,'Tippmix napló'!$C$7:$C$133,"&lt;"&amp;C27+1,'Tippmix napló'!$G$7:$G$133,"Veszített")</f>
        <v>0</v>
      </c>
      <c r="E27" s="27">
        <f>COUNTIFS('Tippmix napló'!$C$7:$C$133,"&gt;="&amp;B27,'Tippmix napló'!$C$7:$C$133,"&lt;"&amp;C27+1,'Tippmix napló'!$G$7:$G$133,"Nyert")</f>
        <v>0</v>
      </c>
      <c r="F27" s="27">
        <f>COUNTIFS('Tippmix napló'!$C$7:$C$133,"&gt;="&amp;B27,'Tippmix napló'!$C$7:$C$133,"&lt;"&amp;C27+1,'Tippmix napló'!$G$7:$G$133,"Veszített")</f>
        <v>0</v>
      </c>
      <c r="G27" s="29">
        <f t="shared" si="3"/>
        <v>0</v>
      </c>
      <c r="H27" s="30">
        <f>SUMIFS('Tippmix napló'!$I$7:$I$133,'Tippmix napló'!$C$7:$C$133,"&gt;="&amp;B27,'Tippmix napló'!$C$7:$C$133,"&lt;"&amp;C27+1)</f>
        <v>0</v>
      </c>
      <c r="I27" s="31">
        <f>SUMIFS('Tippmix napló'!$D$7:$D$133,'Tippmix napló'!$C$7:$C$133,"&gt;="&amp;B27,'Tippmix napló'!$C$7:$C$133,"&lt;"&amp;C27+1,'Tippmix napló'!$G$7:$G$133,"Nyert")+SUMIFS('Tippmix napló'!$D$7:$D$133,'Tippmix napló'!$C$7:$C$133,"&gt;="&amp;B27,'Tippmix napló'!$C$7:$C$133,"&lt;"&amp;C27+1,'Tippmix napló'!$G$7:$G$133,"Veszített")</f>
        <v>0</v>
      </c>
      <c r="J27" s="29">
        <f t="shared" si="4"/>
        <v>0</v>
      </c>
    </row>
    <row r="28" spans="1:10" hidden="1" x14ac:dyDescent="0.25">
      <c r="A28" s="33" t="str">
        <f t="shared" ca="1" si="0"/>
        <v>CW22</v>
      </c>
      <c r="B28" s="34">
        <f t="shared" si="1"/>
        <v>46167</v>
      </c>
      <c r="C28" s="34">
        <f t="shared" si="2"/>
        <v>46173</v>
      </c>
      <c r="D28" s="33">
        <f>COUNTIFS('Tippmix napló'!$C$7:$C$133,"&gt;="&amp;B28,'Tippmix napló'!$C$7:$C$133,"&lt;"&amp;C28+1,'Tippmix napló'!$G$7:$G$133,"Nyert")+COUNTIFS('Tippmix napló'!$C$7:$C$133,"&gt;="&amp;B28,'Tippmix napló'!$C$7:$C$133,"&lt;"&amp;C28+1,'Tippmix napló'!$G$7:$G$133,"Veszített")</f>
        <v>0</v>
      </c>
      <c r="E28" s="33">
        <f>COUNTIFS('Tippmix napló'!$C$7:$C$133,"&gt;="&amp;B28,'Tippmix napló'!$C$7:$C$133,"&lt;"&amp;C28+1,'Tippmix napló'!$G$7:$G$133,"Nyert")</f>
        <v>0</v>
      </c>
      <c r="F28" s="33">
        <f>COUNTIFS('Tippmix napló'!$C$7:$C$133,"&gt;="&amp;B28,'Tippmix napló'!$C$7:$C$133,"&lt;"&amp;C28+1,'Tippmix napló'!$G$7:$G$133,"Veszített")</f>
        <v>0</v>
      </c>
      <c r="G28" s="35">
        <f t="shared" si="3"/>
        <v>0</v>
      </c>
      <c r="H28" s="36">
        <f>SUMIFS('Tippmix napló'!$I$7:$I$133,'Tippmix napló'!$C$7:$C$133,"&gt;="&amp;B28,'Tippmix napló'!$C$7:$C$133,"&lt;"&amp;C28+1)</f>
        <v>0</v>
      </c>
      <c r="I28" s="37">
        <f>SUMIFS('Tippmix napló'!$D$7:$D$133,'Tippmix napló'!$C$7:$C$133,"&gt;="&amp;B28,'Tippmix napló'!$C$7:$C$133,"&lt;"&amp;C28+1,'Tippmix napló'!$G$7:$G$133,"Nyert")+SUMIFS('Tippmix napló'!$D$7:$D$133,'Tippmix napló'!$C$7:$C$133,"&gt;="&amp;B28,'Tippmix napló'!$C$7:$C$133,"&lt;"&amp;C28+1,'Tippmix napló'!$G$7:$G$133,"Veszített")</f>
        <v>0</v>
      </c>
      <c r="J28" s="35">
        <f t="shared" si="4"/>
        <v>0</v>
      </c>
    </row>
    <row r="29" spans="1:10" hidden="1" x14ac:dyDescent="0.25">
      <c r="A29" s="27" t="str">
        <f t="shared" ca="1" si="0"/>
        <v>CW23</v>
      </c>
      <c r="B29" s="28">
        <f t="shared" si="1"/>
        <v>46174</v>
      </c>
      <c r="C29" s="28">
        <f t="shared" si="2"/>
        <v>46180</v>
      </c>
      <c r="D29" s="27">
        <f>COUNTIFS('Tippmix napló'!$C$7:$C$133,"&gt;="&amp;B29,'Tippmix napló'!$C$7:$C$133,"&lt;"&amp;C29+1,'Tippmix napló'!$G$7:$G$133,"Nyert")+COUNTIFS('Tippmix napló'!$C$7:$C$133,"&gt;="&amp;B29,'Tippmix napló'!$C$7:$C$133,"&lt;"&amp;C29+1,'Tippmix napló'!$G$7:$G$133,"Veszített")</f>
        <v>0</v>
      </c>
      <c r="E29" s="27">
        <f>COUNTIFS('Tippmix napló'!$C$7:$C$133,"&gt;="&amp;B29,'Tippmix napló'!$C$7:$C$133,"&lt;"&amp;C29+1,'Tippmix napló'!$G$7:$G$133,"Nyert")</f>
        <v>0</v>
      </c>
      <c r="F29" s="27">
        <f>COUNTIFS('Tippmix napló'!$C$7:$C$133,"&gt;="&amp;B29,'Tippmix napló'!$C$7:$C$133,"&lt;"&amp;C29+1,'Tippmix napló'!$G$7:$G$133,"Veszített")</f>
        <v>0</v>
      </c>
      <c r="G29" s="29">
        <f t="shared" si="3"/>
        <v>0</v>
      </c>
      <c r="H29" s="30">
        <f>SUMIFS('Tippmix napló'!$I$7:$I$133,'Tippmix napló'!$C$7:$C$133,"&gt;="&amp;B29,'Tippmix napló'!$C$7:$C$133,"&lt;"&amp;C29+1)</f>
        <v>0</v>
      </c>
      <c r="I29" s="31">
        <f>SUMIFS('Tippmix napló'!$D$7:$D$133,'Tippmix napló'!$C$7:$C$133,"&gt;="&amp;B29,'Tippmix napló'!$C$7:$C$133,"&lt;"&amp;C29+1,'Tippmix napló'!$G$7:$G$133,"Nyert")+SUMIFS('Tippmix napló'!$D$7:$D$133,'Tippmix napló'!$C$7:$C$133,"&gt;="&amp;B29,'Tippmix napló'!$C$7:$C$133,"&lt;"&amp;C29+1,'Tippmix napló'!$G$7:$G$133,"Veszített")</f>
        <v>0</v>
      </c>
      <c r="J29" s="29">
        <f t="shared" si="4"/>
        <v>0</v>
      </c>
    </row>
    <row r="30" spans="1:10" hidden="1" x14ac:dyDescent="0.25">
      <c r="A30" s="33" t="str">
        <f t="shared" ca="1" si="0"/>
        <v>CW24</v>
      </c>
      <c r="B30" s="34">
        <f t="shared" si="1"/>
        <v>46181</v>
      </c>
      <c r="C30" s="34">
        <f t="shared" si="2"/>
        <v>46187</v>
      </c>
      <c r="D30" s="33">
        <f>COUNTIFS('Tippmix napló'!$C$7:$C$133,"&gt;="&amp;B30,'Tippmix napló'!$C$7:$C$133,"&lt;"&amp;C30+1,'Tippmix napló'!$G$7:$G$133,"Nyert")+COUNTIFS('Tippmix napló'!$C$7:$C$133,"&gt;="&amp;B30,'Tippmix napló'!$C$7:$C$133,"&lt;"&amp;C30+1,'Tippmix napló'!$G$7:$G$133,"Veszített")</f>
        <v>0</v>
      </c>
      <c r="E30" s="33">
        <f>COUNTIFS('Tippmix napló'!$C$7:$C$133,"&gt;="&amp;B30,'Tippmix napló'!$C$7:$C$133,"&lt;"&amp;C30+1,'Tippmix napló'!$G$7:$G$133,"Nyert")</f>
        <v>0</v>
      </c>
      <c r="F30" s="33">
        <f>COUNTIFS('Tippmix napló'!$C$7:$C$133,"&gt;="&amp;B30,'Tippmix napló'!$C$7:$C$133,"&lt;"&amp;C30+1,'Tippmix napló'!$G$7:$G$133,"Veszített")</f>
        <v>0</v>
      </c>
      <c r="G30" s="35">
        <f t="shared" si="3"/>
        <v>0</v>
      </c>
      <c r="H30" s="36">
        <f>SUMIFS('Tippmix napló'!$I$7:$I$133,'Tippmix napló'!$C$7:$C$133,"&gt;="&amp;B30,'Tippmix napló'!$C$7:$C$133,"&lt;"&amp;C30+1)</f>
        <v>0</v>
      </c>
      <c r="I30" s="37">
        <f>SUMIFS('Tippmix napló'!$D$7:$D$133,'Tippmix napló'!$C$7:$C$133,"&gt;="&amp;B30,'Tippmix napló'!$C$7:$C$133,"&lt;"&amp;C30+1,'Tippmix napló'!$G$7:$G$133,"Nyert")+SUMIFS('Tippmix napló'!$D$7:$D$133,'Tippmix napló'!$C$7:$C$133,"&gt;="&amp;B30,'Tippmix napló'!$C$7:$C$133,"&lt;"&amp;C30+1,'Tippmix napló'!$G$7:$G$133,"Veszített")</f>
        <v>0</v>
      </c>
      <c r="J30" s="35">
        <f t="shared" si="4"/>
        <v>0</v>
      </c>
    </row>
    <row r="31" spans="1:10" hidden="1" x14ac:dyDescent="0.25">
      <c r="A31" s="27" t="str">
        <f t="shared" ca="1" si="0"/>
        <v>CW25</v>
      </c>
      <c r="B31" s="28">
        <f t="shared" si="1"/>
        <v>46188</v>
      </c>
      <c r="C31" s="28">
        <f t="shared" si="2"/>
        <v>46194</v>
      </c>
      <c r="D31" s="27">
        <f>COUNTIFS('Tippmix napló'!$C$7:$C$133,"&gt;="&amp;B31,'Tippmix napló'!$C$7:$C$133,"&lt;"&amp;C31+1,'Tippmix napló'!$G$7:$G$133,"Nyert")+COUNTIFS('Tippmix napló'!$C$7:$C$133,"&gt;="&amp;B31,'Tippmix napló'!$C$7:$C$133,"&lt;"&amp;C31+1,'Tippmix napló'!$G$7:$G$133,"Veszített")</f>
        <v>0</v>
      </c>
      <c r="E31" s="27">
        <f>COUNTIFS('Tippmix napló'!$C$7:$C$133,"&gt;="&amp;B31,'Tippmix napló'!$C$7:$C$133,"&lt;"&amp;C31+1,'Tippmix napló'!$G$7:$G$133,"Nyert")</f>
        <v>0</v>
      </c>
      <c r="F31" s="27">
        <f>COUNTIFS('Tippmix napló'!$C$7:$C$133,"&gt;="&amp;B31,'Tippmix napló'!$C$7:$C$133,"&lt;"&amp;C31+1,'Tippmix napló'!$G$7:$G$133,"Veszített")</f>
        <v>0</v>
      </c>
      <c r="G31" s="29">
        <f t="shared" si="3"/>
        <v>0</v>
      </c>
      <c r="H31" s="30">
        <f>SUMIFS('Tippmix napló'!$I$7:$I$133,'Tippmix napló'!$C$7:$C$133,"&gt;="&amp;B31,'Tippmix napló'!$C$7:$C$133,"&lt;"&amp;C31+1)</f>
        <v>0</v>
      </c>
      <c r="I31" s="31">
        <f>SUMIFS('Tippmix napló'!$D$7:$D$133,'Tippmix napló'!$C$7:$C$133,"&gt;="&amp;B31,'Tippmix napló'!$C$7:$C$133,"&lt;"&amp;C31+1,'Tippmix napló'!$G$7:$G$133,"Nyert")+SUMIFS('Tippmix napló'!$D$7:$D$133,'Tippmix napló'!$C$7:$C$133,"&gt;="&amp;B31,'Tippmix napló'!$C$7:$C$133,"&lt;"&amp;C31+1,'Tippmix napló'!$G$7:$G$133,"Veszített")</f>
        <v>0</v>
      </c>
      <c r="J31" s="29">
        <f t="shared" si="4"/>
        <v>0</v>
      </c>
    </row>
    <row r="32" spans="1:10" hidden="1" x14ac:dyDescent="0.25">
      <c r="A32" s="33" t="str">
        <f t="shared" ca="1" si="0"/>
        <v>CW26</v>
      </c>
      <c r="B32" s="34">
        <f t="shared" si="1"/>
        <v>46195</v>
      </c>
      <c r="C32" s="34">
        <f t="shared" si="2"/>
        <v>46201</v>
      </c>
      <c r="D32" s="33">
        <f>COUNTIFS('Tippmix napló'!$C$7:$C$133,"&gt;="&amp;B32,'Tippmix napló'!$C$7:$C$133,"&lt;"&amp;C32+1,'Tippmix napló'!$G$7:$G$133,"Nyert")+COUNTIFS('Tippmix napló'!$C$7:$C$133,"&gt;="&amp;B32,'Tippmix napló'!$C$7:$C$133,"&lt;"&amp;C32+1,'Tippmix napló'!$G$7:$G$133,"Veszített")</f>
        <v>0</v>
      </c>
      <c r="E32" s="33">
        <f>COUNTIFS('Tippmix napló'!$C$7:$C$133,"&gt;="&amp;B32,'Tippmix napló'!$C$7:$C$133,"&lt;"&amp;C32+1,'Tippmix napló'!$G$7:$G$133,"Nyert")</f>
        <v>0</v>
      </c>
      <c r="F32" s="33">
        <f>COUNTIFS('Tippmix napló'!$C$7:$C$133,"&gt;="&amp;B32,'Tippmix napló'!$C$7:$C$133,"&lt;"&amp;C32+1,'Tippmix napló'!$G$7:$G$133,"Veszített")</f>
        <v>0</v>
      </c>
      <c r="G32" s="35">
        <f t="shared" si="3"/>
        <v>0</v>
      </c>
      <c r="H32" s="36">
        <f>SUMIFS('Tippmix napló'!$I$7:$I$133,'Tippmix napló'!$C$7:$C$133,"&gt;="&amp;B32,'Tippmix napló'!$C$7:$C$133,"&lt;"&amp;C32+1)</f>
        <v>0</v>
      </c>
      <c r="I32" s="37">
        <f>SUMIFS('Tippmix napló'!$D$7:$D$133,'Tippmix napló'!$C$7:$C$133,"&gt;="&amp;B32,'Tippmix napló'!$C$7:$C$133,"&lt;"&amp;C32+1,'Tippmix napló'!$G$7:$G$133,"Nyert")+SUMIFS('Tippmix napló'!$D$7:$D$133,'Tippmix napló'!$C$7:$C$133,"&gt;="&amp;B32,'Tippmix napló'!$C$7:$C$133,"&lt;"&amp;C32+1,'Tippmix napló'!$G$7:$G$133,"Veszített")</f>
        <v>0</v>
      </c>
      <c r="J32" s="35">
        <f t="shared" si="4"/>
        <v>0</v>
      </c>
    </row>
    <row r="33" spans="1:10" hidden="1" x14ac:dyDescent="0.25">
      <c r="A33" s="27" t="str">
        <f t="shared" ca="1" si="0"/>
        <v>CW27</v>
      </c>
      <c r="B33" s="28">
        <f t="shared" si="1"/>
        <v>46202</v>
      </c>
      <c r="C33" s="28">
        <f t="shared" si="2"/>
        <v>46208</v>
      </c>
      <c r="D33" s="27">
        <f>COUNTIFS('Tippmix napló'!$C$7:$C$133,"&gt;="&amp;B33,'Tippmix napló'!$C$7:$C$133,"&lt;"&amp;C33+1,'Tippmix napló'!$G$7:$G$133,"Nyert")+COUNTIFS('Tippmix napló'!$C$7:$C$133,"&gt;="&amp;B33,'Tippmix napló'!$C$7:$C$133,"&lt;"&amp;C33+1,'Tippmix napló'!$G$7:$G$133,"Veszített")</f>
        <v>0</v>
      </c>
      <c r="E33" s="27">
        <f>COUNTIFS('Tippmix napló'!$C$7:$C$133,"&gt;="&amp;B33,'Tippmix napló'!$C$7:$C$133,"&lt;"&amp;C33+1,'Tippmix napló'!$G$7:$G$133,"Nyert")</f>
        <v>0</v>
      </c>
      <c r="F33" s="27">
        <f>COUNTIFS('Tippmix napló'!$C$7:$C$133,"&gt;="&amp;B33,'Tippmix napló'!$C$7:$C$133,"&lt;"&amp;C33+1,'Tippmix napló'!$G$7:$G$133,"Veszített")</f>
        <v>0</v>
      </c>
      <c r="G33" s="29">
        <f t="shared" si="3"/>
        <v>0</v>
      </c>
      <c r="H33" s="30">
        <f>SUMIFS('Tippmix napló'!$I$7:$I$133,'Tippmix napló'!$C$7:$C$133,"&gt;="&amp;B33,'Tippmix napló'!$C$7:$C$133,"&lt;"&amp;C33+1)</f>
        <v>0</v>
      </c>
      <c r="I33" s="31">
        <f>SUMIFS('Tippmix napló'!$D$7:$D$133,'Tippmix napló'!$C$7:$C$133,"&gt;="&amp;B33,'Tippmix napló'!$C$7:$C$133,"&lt;"&amp;C33+1,'Tippmix napló'!$G$7:$G$133,"Nyert")+SUMIFS('Tippmix napló'!$D$7:$D$133,'Tippmix napló'!$C$7:$C$133,"&gt;="&amp;B33,'Tippmix napló'!$C$7:$C$133,"&lt;"&amp;C33+1,'Tippmix napló'!$G$7:$G$133,"Veszített")</f>
        <v>0</v>
      </c>
      <c r="J33" s="29">
        <f t="shared" si="4"/>
        <v>0</v>
      </c>
    </row>
    <row r="34" spans="1:10" hidden="1" x14ac:dyDescent="0.25">
      <c r="A34" s="33" t="str">
        <f t="shared" ca="1" si="0"/>
        <v>CW28</v>
      </c>
      <c r="B34" s="34">
        <f t="shared" si="1"/>
        <v>46209</v>
      </c>
      <c r="C34" s="34">
        <f t="shared" si="2"/>
        <v>46215</v>
      </c>
      <c r="D34" s="33">
        <f>COUNTIFS('Tippmix napló'!$C$7:$C$133,"&gt;="&amp;B34,'Tippmix napló'!$C$7:$C$133,"&lt;"&amp;C34+1,'Tippmix napló'!$G$7:$G$133,"Nyert")+COUNTIFS('Tippmix napló'!$C$7:$C$133,"&gt;="&amp;B34,'Tippmix napló'!$C$7:$C$133,"&lt;"&amp;C34+1,'Tippmix napló'!$G$7:$G$133,"Veszített")</f>
        <v>0</v>
      </c>
      <c r="E34" s="33">
        <f>COUNTIFS('Tippmix napló'!$C$7:$C$133,"&gt;="&amp;B34,'Tippmix napló'!$C$7:$C$133,"&lt;"&amp;C34+1,'Tippmix napló'!$G$7:$G$133,"Nyert")</f>
        <v>0</v>
      </c>
      <c r="F34" s="33">
        <f>COUNTIFS('Tippmix napló'!$C$7:$C$133,"&gt;="&amp;B34,'Tippmix napló'!$C$7:$C$133,"&lt;"&amp;C34+1,'Tippmix napló'!$G$7:$G$133,"Veszített")</f>
        <v>0</v>
      </c>
      <c r="G34" s="35">
        <f t="shared" si="3"/>
        <v>0</v>
      </c>
      <c r="H34" s="36">
        <f>SUMIFS('Tippmix napló'!$I$7:$I$133,'Tippmix napló'!$C$7:$C$133,"&gt;="&amp;B34,'Tippmix napló'!$C$7:$C$133,"&lt;"&amp;C34+1)</f>
        <v>0</v>
      </c>
      <c r="I34" s="37">
        <f>SUMIFS('Tippmix napló'!$D$7:$D$133,'Tippmix napló'!$C$7:$C$133,"&gt;="&amp;B34,'Tippmix napló'!$C$7:$C$133,"&lt;"&amp;C34+1,'Tippmix napló'!$G$7:$G$133,"Nyert")+SUMIFS('Tippmix napló'!$D$7:$D$133,'Tippmix napló'!$C$7:$C$133,"&gt;="&amp;B34,'Tippmix napló'!$C$7:$C$133,"&lt;"&amp;C34+1,'Tippmix napló'!$G$7:$G$133,"Veszített")</f>
        <v>0</v>
      </c>
      <c r="J34" s="35">
        <f t="shared" si="4"/>
        <v>0</v>
      </c>
    </row>
    <row r="35" spans="1:10" hidden="1" x14ac:dyDescent="0.25">
      <c r="A35" s="27" t="str">
        <f t="shared" ca="1" si="0"/>
        <v>CW29</v>
      </c>
      <c r="B35" s="28">
        <f t="shared" si="1"/>
        <v>46216</v>
      </c>
      <c r="C35" s="28">
        <f t="shared" si="2"/>
        <v>46222</v>
      </c>
      <c r="D35" s="27">
        <f>COUNTIFS('Tippmix napló'!$C$7:$C$133,"&gt;="&amp;B35,'Tippmix napló'!$C$7:$C$133,"&lt;"&amp;C35+1,'Tippmix napló'!$G$7:$G$133,"Nyert")+COUNTIFS('Tippmix napló'!$C$7:$C$133,"&gt;="&amp;B35,'Tippmix napló'!$C$7:$C$133,"&lt;"&amp;C35+1,'Tippmix napló'!$G$7:$G$133,"Veszített")</f>
        <v>0</v>
      </c>
      <c r="E35" s="27">
        <f>COUNTIFS('Tippmix napló'!$C$7:$C$133,"&gt;="&amp;B35,'Tippmix napló'!$C$7:$C$133,"&lt;"&amp;C35+1,'Tippmix napló'!$G$7:$G$133,"Nyert")</f>
        <v>0</v>
      </c>
      <c r="F35" s="27">
        <f>COUNTIFS('Tippmix napló'!$C$7:$C$133,"&gt;="&amp;B35,'Tippmix napló'!$C$7:$C$133,"&lt;"&amp;C35+1,'Tippmix napló'!$G$7:$G$133,"Veszített")</f>
        <v>0</v>
      </c>
      <c r="G35" s="29">
        <f t="shared" si="3"/>
        <v>0</v>
      </c>
      <c r="H35" s="30">
        <f>SUMIFS('Tippmix napló'!$I$7:$I$133,'Tippmix napló'!$C$7:$C$133,"&gt;="&amp;B35,'Tippmix napló'!$C$7:$C$133,"&lt;"&amp;C35+1)</f>
        <v>0</v>
      </c>
      <c r="I35" s="31">
        <f>SUMIFS('Tippmix napló'!$D$7:$D$133,'Tippmix napló'!$C$7:$C$133,"&gt;="&amp;B35,'Tippmix napló'!$C$7:$C$133,"&lt;"&amp;C35+1,'Tippmix napló'!$G$7:$G$133,"Nyert")+SUMIFS('Tippmix napló'!$D$7:$D$133,'Tippmix napló'!$C$7:$C$133,"&gt;="&amp;B35,'Tippmix napló'!$C$7:$C$133,"&lt;"&amp;C35+1,'Tippmix napló'!$G$7:$G$133,"Veszített")</f>
        <v>0</v>
      </c>
      <c r="J35" s="29">
        <f t="shared" si="4"/>
        <v>0</v>
      </c>
    </row>
    <row r="36" spans="1:10" hidden="1" x14ac:dyDescent="0.25">
      <c r="A36" s="33" t="str">
        <f t="shared" ca="1" si="0"/>
        <v>CW30</v>
      </c>
      <c r="B36" s="34">
        <f t="shared" si="1"/>
        <v>46223</v>
      </c>
      <c r="C36" s="34">
        <f t="shared" si="2"/>
        <v>46229</v>
      </c>
      <c r="D36" s="33">
        <f>COUNTIFS('Tippmix napló'!$C$7:$C$133,"&gt;="&amp;B36,'Tippmix napló'!$C$7:$C$133,"&lt;"&amp;C36+1,'Tippmix napló'!$G$7:$G$133,"Nyert")+COUNTIFS('Tippmix napló'!$C$7:$C$133,"&gt;="&amp;B36,'Tippmix napló'!$C$7:$C$133,"&lt;"&amp;C36+1,'Tippmix napló'!$G$7:$G$133,"Veszített")</f>
        <v>0</v>
      </c>
      <c r="E36" s="33">
        <f>COUNTIFS('Tippmix napló'!$C$7:$C$133,"&gt;="&amp;B36,'Tippmix napló'!$C$7:$C$133,"&lt;"&amp;C36+1,'Tippmix napló'!$G$7:$G$133,"Nyert")</f>
        <v>0</v>
      </c>
      <c r="F36" s="33">
        <f>COUNTIFS('Tippmix napló'!$C$7:$C$133,"&gt;="&amp;B36,'Tippmix napló'!$C$7:$C$133,"&lt;"&amp;C36+1,'Tippmix napló'!$G$7:$G$133,"Veszített")</f>
        <v>0</v>
      </c>
      <c r="G36" s="35">
        <f t="shared" si="3"/>
        <v>0</v>
      </c>
      <c r="H36" s="36">
        <f>SUMIFS('Tippmix napló'!$I$7:$I$133,'Tippmix napló'!$C$7:$C$133,"&gt;="&amp;B36,'Tippmix napló'!$C$7:$C$133,"&lt;"&amp;C36+1)</f>
        <v>0</v>
      </c>
      <c r="I36" s="37">
        <f>SUMIFS('Tippmix napló'!$D$7:$D$133,'Tippmix napló'!$C$7:$C$133,"&gt;="&amp;B36,'Tippmix napló'!$C$7:$C$133,"&lt;"&amp;C36+1,'Tippmix napló'!$G$7:$G$133,"Nyert")+SUMIFS('Tippmix napló'!$D$7:$D$133,'Tippmix napló'!$C$7:$C$133,"&gt;="&amp;B36,'Tippmix napló'!$C$7:$C$133,"&lt;"&amp;C36+1,'Tippmix napló'!$G$7:$G$133,"Veszített")</f>
        <v>0</v>
      </c>
      <c r="J36" s="35">
        <f t="shared" si="4"/>
        <v>0</v>
      </c>
    </row>
    <row r="37" spans="1:10" hidden="1" x14ac:dyDescent="0.25">
      <c r="A37" s="27" t="str">
        <f t="shared" ca="1" si="0"/>
        <v>CW31</v>
      </c>
      <c r="B37" s="28">
        <f t="shared" si="1"/>
        <v>46230</v>
      </c>
      <c r="C37" s="28">
        <f t="shared" si="2"/>
        <v>46236</v>
      </c>
      <c r="D37" s="27">
        <f>COUNTIFS('Tippmix napló'!$C$7:$C$133,"&gt;="&amp;B37,'Tippmix napló'!$C$7:$C$133,"&lt;"&amp;C37+1,'Tippmix napló'!$G$7:$G$133,"Nyert")+COUNTIFS('Tippmix napló'!$C$7:$C$133,"&gt;="&amp;B37,'Tippmix napló'!$C$7:$C$133,"&lt;"&amp;C37+1,'Tippmix napló'!$G$7:$G$133,"Veszített")</f>
        <v>0</v>
      </c>
      <c r="E37" s="27">
        <f>COUNTIFS('Tippmix napló'!$C$7:$C$133,"&gt;="&amp;B37,'Tippmix napló'!$C$7:$C$133,"&lt;"&amp;C37+1,'Tippmix napló'!$G$7:$G$133,"Nyert")</f>
        <v>0</v>
      </c>
      <c r="F37" s="27">
        <f>COUNTIFS('Tippmix napló'!$C$7:$C$133,"&gt;="&amp;B37,'Tippmix napló'!$C$7:$C$133,"&lt;"&amp;C37+1,'Tippmix napló'!$G$7:$G$133,"Veszített")</f>
        <v>0</v>
      </c>
      <c r="G37" s="29">
        <f t="shared" si="3"/>
        <v>0</v>
      </c>
      <c r="H37" s="30">
        <f>SUMIFS('Tippmix napló'!$I$7:$I$133,'Tippmix napló'!$C$7:$C$133,"&gt;="&amp;B37,'Tippmix napló'!$C$7:$C$133,"&lt;"&amp;C37+1)</f>
        <v>0</v>
      </c>
      <c r="I37" s="31">
        <f>SUMIFS('Tippmix napló'!$D$7:$D$133,'Tippmix napló'!$C$7:$C$133,"&gt;="&amp;B37,'Tippmix napló'!$C$7:$C$133,"&lt;"&amp;C37+1,'Tippmix napló'!$G$7:$G$133,"Nyert")+SUMIFS('Tippmix napló'!$D$7:$D$133,'Tippmix napló'!$C$7:$C$133,"&gt;="&amp;B37,'Tippmix napló'!$C$7:$C$133,"&lt;"&amp;C37+1,'Tippmix napló'!$G$7:$G$133,"Veszített")</f>
        <v>0</v>
      </c>
      <c r="J37" s="29">
        <f t="shared" si="4"/>
        <v>0</v>
      </c>
    </row>
    <row r="38" spans="1:10" hidden="1" x14ac:dyDescent="0.25">
      <c r="A38" s="33" t="str">
        <f t="shared" ca="1" si="0"/>
        <v>CW32</v>
      </c>
      <c r="B38" s="34">
        <f t="shared" si="1"/>
        <v>46237</v>
      </c>
      <c r="C38" s="34">
        <f t="shared" si="2"/>
        <v>46243</v>
      </c>
      <c r="D38" s="33">
        <f>COUNTIFS('Tippmix napló'!$C$7:$C$133,"&gt;="&amp;B38,'Tippmix napló'!$C$7:$C$133,"&lt;"&amp;C38+1,'Tippmix napló'!$G$7:$G$133,"Nyert")+COUNTIFS('Tippmix napló'!$C$7:$C$133,"&gt;="&amp;B38,'Tippmix napló'!$C$7:$C$133,"&lt;"&amp;C38+1,'Tippmix napló'!$G$7:$G$133,"Veszített")</f>
        <v>0</v>
      </c>
      <c r="E38" s="33">
        <f>COUNTIFS('Tippmix napló'!$C$7:$C$133,"&gt;="&amp;B38,'Tippmix napló'!$C$7:$C$133,"&lt;"&amp;C38+1,'Tippmix napló'!$G$7:$G$133,"Nyert")</f>
        <v>0</v>
      </c>
      <c r="F38" s="33">
        <f>COUNTIFS('Tippmix napló'!$C$7:$C$133,"&gt;="&amp;B38,'Tippmix napló'!$C$7:$C$133,"&lt;"&amp;C38+1,'Tippmix napló'!$G$7:$G$133,"Veszített")</f>
        <v>0</v>
      </c>
      <c r="G38" s="35">
        <f t="shared" si="3"/>
        <v>0</v>
      </c>
      <c r="H38" s="36">
        <f>SUMIFS('Tippmix napló'!$I$7:$I$133,'Tippmix napló'!$C$7:$C$133,"&gt;="&amp;B38,'Tippmix napló'!$C$7:$C$133,"&lt;"&amp;C38+1)</f>
        <v>0</v>
      </c>
      <c r="I38" s="37">
        <f>SUMIFS('Tippmix napló'!$D$7:$D$133,'Tippmix napló'!$C$7:$C$133,"&gt;="&amp;B38,'Tippmix napló'!$C$7:$C$133,"&lt;"&amp;C38+1,'Tippmix napló'!$G$7:$G$133,"Nyert")+SUMIFS('Tippmix napló'!$D$7:$D$133,'Tippmix napló'!$C$7:$C$133,"&gt;="&amp;B38,'Tippmix napló'!$C$7:$C$133,"&lt;"&amp;C38+1,'Tippmix napló'!$G$7:$G$133,"Veszített")</f>
        <v>0</v>
      </c>
      <c r="J38" s="35">
        <f t="shared" si="4"/>
        <v>0</v>
      </c>
    </row>
    <row r="39" spans="1:10" hidden="1" x14ac:dyDescent="0.25">
      <c r="A39" s="27" t="str">
        <f t="shared" ref="A39:A59" ca="1" si="5">IF(OR(B39="",B39&gt;TODAY()+370),"","CW"&amp;TEXT(ROW()-6,"00"))</f>
        <v>CW33</v>
      </c>
      <c r="B39" s="28">
        <f t="shared" ref="B39:B59" si="6">DATE($B$3,1,4)-WEEKDAY(DATE($B$3,1,4),2)+1+(ROW()-7)*7</f>
        <v>46244</v>
      </c>
      <c r="C39" s="28">
        <f t="shared" ref="C39:C59" si="7">B39+6</f>
        <v>46250</v>
      </c>
      <c r="D39" s="27">
        <f>COUNTIFS('Tippmix napló'!$C$7:$C$133,"&gt;="&amp;B39,'Tippmix napló'!$C$7:$C$133,"&lt;"&amp;C39+1,'Tippmix napló'!$G$7:$G$133,"Nyert")+COUNTIFS('Tippmix napló'!$C$7:$C$133,"&gt;="&amp;B39,'Tippmix napló'!$C$7:$C$133,"&lt;"&amp;C39+1,'Tippmix napló'!$G$7:$G$133,"Veszített")</f>
        <v>0</v>
      </c>
      <c r="E39" s="27">
        <f>COUNTIFS('Tippmix napló'!$C$7:$C$133,"&gt;="&amp;B39,'Tippmix napló'!$C$7:$C$133,"&lt;"&amp;C39+1,'Tippmix napló'!$G$7:$G$133,"Nyert")</f>
        <v>0</v>
      </c>
      <c r="F39" s="27">
        <f>COUNTIFS('Tippmix napló'!$C$7:$C$133,"&gt;="&amp;B39,'Tippmix napló'!$C$7:$C$133,"&lt;"&amp;C39+1,'Tippmix napló'!$G$7:$G$133,"Veszített")</f>
        <v>0</v>
      </c>
      <c r="G39" s="29">
        <f t="shared" ref="G39:G59" si="8">IFERROR(E39/(E39+F39),0)</f>
        <v>0</v>
      </c>
      <c r="H39" s="30">
        <f>SUMIFS('Tippmix napló'!$I$7:$I$133,'Tippmix napló'!$C$7:$C$133,"&gt;="&amp;B39,'Tippmix napló'!$C$7:$C$133,"&lt;"&amp;C39+1)</f>
        <v>0</v>
      </c>
      <c r="I39" s="31">
        <f>SUMIFS('Tippmix napló'!$D$7:$D$133,'Tippmix napló'!$C$7:$C$133,"&gt;="&amp;B39,'Tippmix napló'!$C$7:$C$133,"&lt;"&amp;C39+1,'Tippmix napló'!$G$7:$G$133,"Nyert")+SUMIFS('Tippmix napló'!$D$7:$D$133,'Tippmix napló'!$C$7:$C$133,"&gt;="&amp;B39,'Tippmix napló'!$C$7:$C$133,"&lt;"&amp;C39+1,'Tippmix napló'!$G$7:$G$133,"Veszített")</f>
        <v>0</v>
      </c>
      <c r="J39" s="29">
        <f t="shared" ref="J39:J59" si="9">IFERROR(H39/I39,0)</f>
        <v>0</v>
      </c>
    </row>
    <row r="40" spans="1:10" hidden="1" x14ac:dyDescent="0.25">
      <c r="A40" s="33" t="str">
        <f t="shared" ca="1" si="5"/>
        <v>CW34</v>
      </c>
      <c r="B40" s="34">
        <f t="shared" si="6"/>
        <v>46251</v>
      </c>
      <c r="C40" s="34">
        <f t="shared" si="7"/>
        <v>46257</v>
      </c>
      <c r="D40" s="33">
        <f>COUNTIFS('Tippmix napló'!$C$7:$C$133,"&gt;="&amp;B40,'Tippmix napló'!$C$7:$C$133,"&lt;"&amp;C40+1,'Tippmix napló'!$G$7:$G$133,"Nyert")+COUNTIFS('Tippmix napló'!$C$7:$C$133,"&gt;="&amp;B40,'Tippmix napló'!$C$7:$C$133,"&lt;"&amp;C40+1,'Tippmix napló'!$G$7:$G$133,"Veszített")</f>
        <v>0</v>
      </c>
      <c r="E40" s="33">
        <f>COUNTIFS('Tippmix napló'!$C$7:$C$133,"&gt;="&amp;B40,'Tippmix napló'!$C$7:$C$133,"&lt;"&amp;C40+1,'Tippmix napló'!$G$7:$G$133,"Nyert")</f>
        <v>0</v>
      </c>
      <c r="F40" s="33">
        <f>COUNTIFS('Tippmix napló'!$C$7:$C$133,"&gt;="&amp;B40,'Tippmix napló'!$C$7:$C$133,"&lt;"&amp;C40+1,'Tippmix napló'!$G$7:$G$133,"Veszített")</f>
        <v>0</v>
      </c>
      <c r="G40" s="35">
        <f t="shared" si="8"/>
        <v>0</v>
      </c>
      <c r="H40" s="36">
        <f>SUMIFS('Tippmix napló'!$I$7:$I$133,'Tippmix napló'!$C$7:$C$133,"&gt;="&amp;B40,'Tippmix napló'!$C$7:$C$133,"&lt;"&amp;C40+1)</f>
        <v>0</v>
      </c>
      <c r="I40" s="37">
        <f>SUMIFS('Tippmix napló'!$D$7:$D$133,'Tippmix napló'!$C$7:$C$133,"&gt;="&amp;B40,'Tippmix napló'!$C$7:$C$133,"&lt;"&amp;C40+1,'Tippmix napló'!$G$7:$G$133,"Nyert")+SUMIFS('Tippmix napló'!$D$7:$D$133,'Tippmix napló'!$C$7:$C$133,"&gt;="&amp;B40,'Tippmix napló'!$C$7:$C$133,"&lt;"&amp;C40+1,'Tippmix napló'!$G$7:$G$133,"Veszített")</f>
        <v>0</v>
      </c>
      <c r="J40" s="35">
        <f t="shared" si="9"/>
        <v>0</v>
      </c>
    </row>
    <row r="41" spans="1:10" x14ac:dyDescent="0.25">
      <c r="A41" s="27" t="str">
        <f t="shared" ca="1" si="5"/>
        <v>CW35</v>
      </c>
      <c r="B41" s="28">
        <f t="shared" si="6"/>
        <v>46258</v>
      </c>
      <c r="C41" s="28">
        <f t="shared" si="7"/>
        <v>46264</v>
      </c>
      <c r="D41" s="27">
        <f>COUNTIFS('Tippmix napló'!$C$7:$C$133,"&gt;="&amp;B41,'Tippmix napló'!$C$7:$C$133,"&lt;"&amp;C41+1,'Tippmix napló'!$G$7:$G$133,"Nyert")+COUNTIFS('Tippmix napló'!$C$7:$C$133,"&gt;="&amp;B41,'Tippmix napló'!$C$7:$C$133,"&lt;"&amp;C41+1,'Tippmix napló'!$G$7:$G$133,"Veszített")</f>
        <v>3</v>
      </c>
      <c r="E41" s="27">
        <f>COUNTIFS('Tippmix napló'!$C$7:$C$133,"&gt;="&amp;B41,'Tippmix napló'!$C$7:$C$133,"&lt;"&amp;C41+1,'Tippmix napló'!$G$7:$G$133,"Nyert")</f>
        <v>2</v>
      </c>
      <c r="F41" s="27">
        <f>COUNTIFS('Tippmix napló'!$C$7:$C$133,"&gt;="&amp;B41,'Tippmix napló'!$C$7:$C$133,"&lt;"&amp;C41+1,'Tippmix napló'!$G$7:$G$133,"Veszített")</f>
        <v>1</v>
      </c>
      <c r="G41" s="29">
        <f t="shared" si="8"/>
        <v>0.66666666666666663</v>
      </c>
      <c r="H41" s="30">
        <f>SUMIFS('Tippmix napló'!$I$7:$I$133,'Tippmix napló'!$C$7:$C$133,"&gt;="&amp;B41,'Tippmix napló'!$C$7:$C$133,"&lt;"&amp;C41+1)</f>
        <v>2210</v>
      </c>
      <c r="I41" s="31">
        <f>SUMIFS('Tippmix napló'!$D$7:$D$133,'Tippmix napló'!$C$7:$C$133,"&gt;="&amp;B41,'Tippmix napló'!$C$7:$C$133,"&lt;"&amp;C41+1,'Tippmix napló'!$G$7:$G$133,"Nyert")+SUMIFS('Tippmix napló'!$D$7:$D$133,'Tippmix napló'!$C$7:$C$133,"&gt;="&amp;B41,'Tippmix napló'!$C$7:$C$133,"&lt;"&amp;C41+1,'Tippmix napló'!$G$7:$G$133,"Veszített")</f>
        <v>3000</v>
      </c>
      <c r="J41" s="29">
        <f t="shared" si="9"/>
        <v>0.73666666666666669</v>
      </c>
    </row>
    <row r="42" spans="1:10" x14ac:dyDescent="0.25">
      <c r="A42" s="33" t="str">
        <f t="shared" ca="1" si="5"/>
        <v>CW36</v>
      </c>
      <c r="B42" s="34">
        <f t="shared" si="6"/>
        <v>46265</v>
      </c>
      <c r="C42" s="34">
        <f t="shared" si="7"/>
        <v>46271</v>
      </c>
      <c r="D42" s="33">
        <f>COUNTIFS('Tippmix napló'!$C$7:$C$133,"&gt;="&amp;B42,'Tippmix napló'!$C$7:$C$133,"&lt;"&amp;C42+1,'Tippmix napló'!$G$7:$G$133,"Nyert")+COUNTIFS('Tippmix napló'!$C$7:$C$133,"&gt;="&amp;B42,'Tippmix napló'!$C$7:$C$133,"&lt;"&amp;C42+1,'Tippmix napló'!$G$7:$G$133,"Veszített")</f>
        <v>7</v>
      </c>
      <c r="E42" s="33">
        <f>COUNTIFS('Tippmix napló'!$C$7:$C$133,"&gt;="&amp;B42,'Tippmix napló'!$C$7:$C$133,"&lt;"&amp;C42+1,'Tippmix napló'!$G$7:$G$133,"Nyert")</f>
        <v>5</v>
      </c>
      <c r="F42" s="33">
        <f>COUNTIFS('Tippmix napló'!$C$7:$C$133,"&gt;="&amp;B42,'Tippmix napló'!$C$7:$C$133,"&lt;"&amp;C42+1,'Tippmix napló'!$G$7:$G$133,"Veszített")</f>
        <v>2</v>
      </c>
      <c r="G42" s="35">
        <f t="shared" si="8"/>
        <v>0.7142857142857143</v>
      </c>
      <c r="H42" s="36">
        <f>SUMIFS('Tippmix napló'!$I$7:$I$133,'Tippmix napló'!$C$7:$C$133,"&gt;="&amp;B42,'Tippmix napló'!$C$7:$C$133,"&lt;"&amp;C42+1)</f>
        <v>3760</v>
      </c>
      <c r="I42" s="37">
        <f>SUMIFS('Tippmix napló'!$D$7:$D$133,'Tippmix napló'!$C$7:$C$133,"&gt;="&amp;B42,'Tippmix napló'!$C$7:$C$133,"&lt;"&amp;C42+1,'Tippmix napló'!$G$7:$G$133,"Nyert")+SUMIFS('Tippmix napló'!$D$7:$D$133,'Tippmix napló'!$C$7:$C$133,"&gt;="&amp;B42,'Tippmix napló'!$C$7:$C$133,"&lt;"&amp;C42+1,'Tippmix napló'!$G$7:$G$133,"Veszített")</f>
        <v>7000</v>
      </c>
      <c r="J42" s="35">
        <f t="shared" si="9"/>
        <v>0.53714285714285714</v>
      </c>
    </row>
    <row r="43" spans="1:10" x14ac:dyDescent="0.25">
      <c r="A43" s="27" t="str">
        <f t="shared" ca="1" si="5"/>
        <v>CW37</v>
      </c>
      <c r="B43" s="28">
        <f t="shared" si="6"/>
        <v>46272</v>
      </c>
      <c r="C43" s="28">
        <f t="shared" si="7"/>
        <v>46278</v>
      </c>
      <c r="D43" s="27">
        <f>COUNTIFS('Tippmix napló'!$C$7:$C$133,"&gt;="&amp;B43,'Tippmix napló'!$C$7:$C$133,"&lt;"&amp;C43+1,'Tippmix napló'!$G$7:$G$133,"Nyert")+COUNTIFS('Tippmix napló'!$C$7:$C$133,"&gt;="&amp;B43,'Tippmix napló'!$C$7:$C$133,"&lt;"&amp;C43+1,'Tippmix napló'!$G$7:$G$133,"Veszített")</f>
        <v>10</v>
      </c>
      <c r="E43" s="27">
        <f>COUNTIFS('Tippmix napló'!$C$7:$C$133,"&gt;="&amp;B43,'Tippmix napló'!$C$7:$C$133,"&lt;"&amp;C43+1,'Tippmix napló'!$G$7:$G$133,"Nyert")</f>
        <v>7</v>
      </c>
      <c r="F43" s="27">
        <f>COUNTIFS('Tippmix napló'!$C$7:$C$133,"&gt;="&amp;B43,'Tippmix napló'!$C$7:$C$133,"&lt;"&amp;C43+1,'Tippmix napló'!$G$7:$G$133,"Veszített")</f>
        <v>3</v>
      </c>
      <c r="G43" s="29">
        <f t="shared" si="8"/>
        <v>0.7</v>
      </c>
      <c r="H43" s="30">
        <f>SUMIFS('Tippmix napló'!$I$7:$I$133,'Tippmix napló'!$C$7:$C$133,"&gt;="&amp;B43,'Tippmix napló'!$C$7:$C$133,"&lt;"&amp;C43+1)</f>
        <v>3480</v>
      </c>
      <c r="I43" s="31">
        <f>SUMIFS('Tippmix napló'!$D$7:$D$133,'Tippmix napló'!$C$7:$C$133,"&gt;="&amp;B43,'Tippmix napló'!$C$7:$C$133,"&lt;"&amp;C43+1,'Tippmix napló'!$G$7:$G$133,"Nyert")+SUMIFS('Tippmix napló'!$D$7:$D$133,'Tippmix napló'!$C$7:$C$133,"&gt;="&amp;B43,'Tippmix napló'!$C$7:$C$133,"&lt;"&amp;C43+1,'Tippmix napló'!$G$7:$G$133,"Veszített")</f>
        <v>10000</v>
      </c>
      <c r="J43" s="29">
        <f t="shared" si="9"/>
        <v>0.34799999999999998</v>
      </c>
    </row>
    <row r="44" spans="1:10" x14ac:dyDescent="0.25">
      <c r="A44" s="33" t="str">
        <f t="shared" ca="1" si="5"/>
        <v>CW38</v>
      </c>
      <c r="B44" s="34">
        <f t="shared" si="6"/>
        <v>46279</v>
      </c>
      <c r="C44" s="34">
        <f t="shared" si="7"/>
        <v>46285</v>
      </c>
      <c r="D44" s="33">
        <f>COUNTIFS('Tippmix napló'!$C$7:$C$133,"&gt;="&amp;B44,'Tippmix napló'!$C$7:$C$133,"&lt;"&amp;C44+1,'Tippmix napló'!$G$7:$G$133,"Nyert")+COUNTIFS('Tippmix napló'!$C$7:$C$133,"&gt;="&amp;B44,'Tippmix napló'!$C$7:$C$133,"&lt;"&amp;C44+1,'Tippmix napló'!$G$7:$G$133,"Veszített")</f>
        <v>10</v>
      </c>
      <c r="E44" s="33">
        <f>COUNTIFS('Tippmix napló'!$C$7:$C$133,"&gt;="&amp;B44,'Tippmix napló'!$C$7:$C$133,"&lt;"&amp;C44+1,'Tippmix napló'!$G$7:$G$133,"Nyert")</f>
        <v>8</v>
      </c>
      <c r="F44" s="33">
        <f>COUNTIFS('Tippmix napló'!$C$7:$C$133,"&gt;="&amp;B44,'Tippmix napló'!$C$7:$C$133,"&lt;"&amp;C44+1,'Tippmix napló'!$G$7:$G$133,"Veszített")</f>
        <v>2</v>
      </c>
      <c r="G44" s="35">
        <f t="shared" si="8"/>
        <v>0.8</v>
      </c>
      <c r="H44" s="36">
        <f>SUMIFS('Tippmix napló'!$I$7:$I$133,'Tippmix napló'!$C$7:$C$133,"&gt;="&amp;B44,'Tippmix napló'!$C$7:$C$133,"&lt;"&amp;C44+1)</f>
        <v>6950</v>
      </c>
      <c r="I44" s="37">
        <f>SUMIFS('Tippmix napló'!$D$7:$D$133,'Tippmix napló'!$C$7:$C$133,"&gt;="&amp;B44,'Tippmix napló'!$C$7:$C$133,"&lt;"&amp;C44+1,'Tippmix napló'!$G$7:$G$133,"Nyert")+SUMIFS('Tippmix napló'!$D$7:$D$133,'Tippmix napló'!$C$7:$C$133,"&gt;="&amp;B44,'Tippmix napló'!$C$7:$C$133,"&lt;"&amp;C44+1,'Tippmix napló'!$G$7:$G$133,"Veszített")</f>
        <v>12000</v>
      </c>
      <c r="J44" s="35">
        <f t="shared" si="9"/>
        <v>0.57916666666666672</v>
      </c>
    </row>
    <row r="45" spans="1:10" x14ac:dyDescent="0.25">
      <c r="A45" s="27" t="str">
        <f t="shared" ca="1" si="5"/>
        <v>CW39</v>
      </c>
      <c r="B45" s="28">
        <f t="shared" si="6"/>
        <v>46286</v>
      </c>
      <c r="C45" s="28">
        <f t="shared" si="7"/>
        <v>46292</v>
      </c>
      <c r="D45" s="27">
        <f>COUNTIFS('Tippmix napló'!$C$7:$C$133,"&gt;="&amp;B45,'Tippmix napló'!$C$7:$C$133,"&lt;"&amp;C45+1,'Tippmix napló'!$G$7:$G$133,"Nyert")+COUNTIFS('Tippmix napló'!$C$7:$C$133,"&gt;="&amp;B45,'Tippmix napló'!$C$7:$C$133,"&lt;"&amp;C45+1,'Tippmix napló'!$G$7:$G$133,"Veszített")</f>
        <v>8</v>
      </c>
      <c r="E45" s="27">
        <f>COUNTIFS('Tippmix napló'!$C$7:$C$133,"&gt;="&amp;B45,'Tippmix napló'!$C$7:$C$133,"&lt;"&amp;C45+1,'Tippmix napló'!$G$7:$G$133,"Nyert")</f>
        <v>3</v>
      </c>
      <c r="F45" s="27">
        <f>COUNTIFS('Tippmix napló'!$C$7:$C$133,"&gt;="&amp;B45,'Tippmix napló'!$C$7:$C$133,"&lt;"&amp;C45+1,'Tippmix napló'!$G$7:$G$133,"Veszített")</f>
        <v>5</v>
      </c>
      <c r="G45" s="29">
        <f t="shared" si="8"/>
        <v>0.375</v>
      </c>
      <c r="H45" s="30">
        <f>SUMIFS('Tippmix napló'!$I$7:$I$133,'Tippmix napló'!$C$7:$C$133,"&gt;="&amp;B45,'Tippmix napló'!$C$7:$C$133,"&lt;"&amp;C45+1)</f>
        <v>-2560</v>
      </c>
      <c r="I45" s="31">
        <f>SUMIFS('Tippmix napló'!$D$7:$D$133,'Tippmix napló'!$C$7:$C$133,"&gt;="&amp;B45,'Tippmix napló'!$C$7:$C$133,"&lt;"&amp;C45+1,'Tippmix napló'!$G$7:$G$133,"Nyert")+SUMIFS('Tippmix napló'!$D$7:$D$133,'Tippmix napló'!$C$7:$C$133,"&gt;="&amp;B45,'Tippmix napló'!$C$7:$C$133,"&lt;"&amp;C45+1,'Tippmix napló'!$G$7:$G$133,"Veszített")</f>
        <v>16000</v>
      </c>
      <c r="J45" s="29">
        <f t="shared" si="9"/>
        <v>-0.16</v>
      </c>
    </row>
    <row r="46" spans="1:10" x14ac:dyDescent="0.25">
      <c r="A46" s="33" t="str">
        <f t="shared" ca="1" si="5"/>
        <v>CW40</v>
      </c>
      <c r="B46" s="34">
        <f t="shared" si="6"/>
        <v>46293</v>
      </c>
      <c r="C46" s="34">
        <f t="shared" si="7"/>
        <v>46299</v>
      </c>
      <c r="D46" s="33">
        <f>COUNTIFS('Tippmix napló'!$C$7:$C$133,"&gt;="&amp;B46,'Tippmix napló'!$C$7:$C$133,"&lt;"&amp;C46+1,'Tippmix napló'!$G$7:$G$133,"Nyert")+COUNTIFS('Tippmix napló'!$C$7:$C$133,"&gt;="&amp;B46,'Tippmix napló'!$C$7:$C$133,"&lt;"&amp;C46+1,'Tippmix napló'!$G$7:$G$133,"Veszített")</f>
        <v>7</v>
      </c>
      <c r="E46" s="33">
        <f>COUNTIFS('Tippmix napló'!$C$7:$C$133,"&gt;="&amp;B46,'Tippmix napló'!$C$7:$C$133,"&lt;"&amp;C46+1,'Tippmix napló'!$G$7:$G$133,"Nyert")</f>
        <v>4</v>
      </c>
      <c r="F46" s="33">
        <f>COUNTIFS('Tippmix napló'!$C$7:$C$133,"&gt;="&amp;B46,'Tippmix napló'!$C$7:$C$133,"&lt;"&amp;C46+1,'Tippmix napló'!$G$7:$G$133,"Veszített")</f>
        <v>3</v>
      </c>
      <c r="G46" s="35">
        <f t="shared" si="8"/>
        <v>0.5714285714285714</v>
      </c>
      <c r="H46" s="36">
        <f>SUMIFS('Tippmix napló'!$I$7:$I$133,'Tippmix napló'!$C$7:$C$133,"&gt;="&amp;B46,'Tippmix napló'!$C$7:$C$133,"&lt;"&amp;C46+1)</f>
        <v>1939.9999999999995</v>
      </c>
      <c r="I46" s="37">
        <f>SUMIFS('Tippmix napló'!$D$7:$D$133,'Tippmix napló'!$C$7:$C$133,"&gt;="&amp;B46,'Tippmix napló'!$C$7:$C$133,"&lt;"&amp;C46+1,'Tippmix napló'!$G$7:$G$133,"Nyert")+SUMIFS('Tippmix napló'!$D$7:$D$133,'Tippmix napló'!$C$7:$C$133,"&gt;="&amp;B46,'Tippmix napló'!$C$7:$C$133,"&lt;"&amp;C46+1,'Tippmix napló'!$G$7:$G$133,"Veszített")</f>
        <v>14000</v>
      </c>
      <c r="J46" s="35">
        <f t="shared" si="9"/>
        <v>0.13857142857142854</v>
      </c>
    </row>
    <row r="47" spans="1:10" x14ac:dyDescent="0.25">
      <c r="A47" s="27" t="str">
        <f t="shared" ca="1" si="5"/>
        <v>CW41</v>
      </c>
      <c r="B47" s="28">
        <f t="shared" si="6"/>
        <v>46300</v>
      </c>
      <c r="C47" s="28">
        <f t="shared" si="7"/>
        <v>46306</v>
      </c>
      <c r="D47" s="27">
        <f>COUNTIFS('Tippmix napló'!$C$7:$C$133,"&gt;="&amp;B47,'Tippmix napló'!$C$7:$C$133,"&lt;"&amp;C47+1,'Tippmix napló'!$G$7:$G$133,"Nyert")+COUNTIFS('Tippmix napló'!$C$7:$C$133,"&gt;="&amp;B47,'Tippmix napló'!$C$7:$C$133,"&lt;"&amp;C47+1,'Tippmix napló'!$G$7:$G$133,"Veszített")</f>
        <v>7</v>
      </c>
      <c r="E47" s="27">
        <f>COUNTIFS('Tippmix napló'!$C$7:$C$133,"&gt;="&amp;B47,'Tippmix napló'!$C$7:$C$133,"&lt;"&amp;C47+1,'Tippmix napló'!$G$7:$G$133,"Nyert")</f>
        <v>5</v>
      </c>
      <c r="F47" s="27">
        <f>COUNTIFS('Tippmix napló'!$C$7:$C$133,"&gt;="&amp;B47,'Tippmix napló'!$C$7:$C$133,"&lt;"&amp;C47+1,'Tippmix napló'!$G$7:$G$133,"Veszített")</f>
        <v>2</v>
      </c>
      <c r="G47" s="29">
        <f t="shared" si="8"/>
        <v>0.7142857142857143</v>
      </c>
      <c r="H47" s="30">
        <f>SUMIFS('Tippmix napló'!$I$7:$I$133,'Tippmix napló'!$C$7:$C$133,"&gt;="&amp;B47,'Tippmix napló'!$C$7:$C$133,"&lt;"&amp;C47+1)</f>
        <v>8760</v>
      </c>
      <c r="I47" s="31">
        <f>SUMIFS('Tippmix napló'!$D$7:$D$133,'Tippmix napló'!$C$7:$C$133,"&gt;="&amp;B47,'Tippmix napló'!$C$7:$C$133,"&lt;"&amp;C47+1,'Tippmix napló'!$G$7:$G$133,"Nyert")+SUMIFS('Tippmix napló'!$D$7:$D$133,'Tippmix napló'!$C$7:$C$133,"&gt;="&amp;B47,'Tippmix napló'!$C$7:$C$133,"&lt;"&amp;C47+1,'Tippmix napló'!$G$7:$G$133,"Veszített")</f>
        <v>14000</v>
      </c>
      <c r="J47" s="29">
        <f t="shared" si="9"/>
        <v>0.62571428571428567</v>
      </c>
    </row>
    <row r="48" spans="1:10" x14ac:dyDescent="0.25">
      <c r="A48" s="33" t="str">
        <f t="shared" ca="1" si="5"/>
        <v>CW42</v>
      </c>
      <c r="B48" s="34">
        <f t="shared" si="6"/>
        <v>46307</v>
      </c>
      <c r="C48" s="34">
        <f t="shared" si="7"/>
        <v>46313</v>
      </c>
      <c r="D48" s="33">
        <f>COUNTIFS('Tippmix napló'!$C$7:$C$133,"&gt;="&amp;B48,'Tippmix napló'!$C$7:$C$133,"&lt;"&amp;C48+1,'Tippmix napló'!$G$7:$G$133,"Nyert")+COUNTIFS('Tippmix napló'!$C$7:$C$133,"&gt;="&amp;B48,'Tippmix napló'!$C$7:$C$133,"&lt;"&amp;C48+1,'Tippmix napló'!$G$7:$G$133,"Veszített")</f>
        <v>7</v>
      </c>
      <c r="E48" s="33">
        <f>COUNTIFS('Tippmix napló'!$C$7:$C$133,"&gt;="&amp;B48,'Tippmix napló'!$C$7:$C$133,"&lt;"&amp;C48+1,'Tippmix napló'!$G$7:$G$133,"Nyert")</f>
        <v>4</v>
      </c>
      <c r="F48" s="33">
        <f>COUNTIFS('Tippmix napló'!$C$7:$C$133,"&gt;="&amp;B48,'Tippmix napló'!$C$7:$C$133,"&lt;"&amp;C48+1,'Tippmix napló'!$G$7:$G$133,"Veszített")</f>
        <v>3</v>
      </c>
      <c r="G48" s="35">
        <f t="shared" si="8"/>
        <v>0.5714285714285714</v>
      </c>
      <c r="H48" s="36">
        <f>SUMIFS('Tippmix napló'!$I$7:$I$133,'Tippmix napló'!$C$7:$C$133,"&gt;="&amp;B48,'Tippmix napló'!$C$7:$C$133,"&lt;"&amp;C48+1)</f>
        <v>1819.9999999999995</v>
      </c>
      <c r="I48" s="37">
        <f>SUMIFS('Tippmix napló'!$D$7:$D$133,'Tippmix napló'!$C$7:$C$133,"&gt;="&amp;B48,'Tippmix napló'!$C$7:$C$133,"&lt;"&amp;C48+1,'Tippmix napló'!$G$7:$G$133,"Nyert")+SUMIFS('Tippmix napló'!$D$7:$D$133,'Tippmix napló'!$C$7:$C$133,"&gt;="&amp;B48,'Tippmix napló'!$C$7:$C$133,"&lt;"&amp;C48+1,'Tippmix napló'!$G$7:$G$133,"Veszített")</f>
        <v>14000</v>
      </c>
      <c r="J48" s="35">
        <f t="shared" si="9"/>
        <v>0.12999999999999998</v>
      </c>
    </row>
    <row r="49" spans="1:10" x14ac:dyDescent="0.25">
      <c r="A49" s="27" t="str">
        <f t="shared" ca="1" si="5"/>
        <v>CW43</v>
      </c>
      <c r="B49" s="28">
        <f t="shared" si="6"/>
        <v>46314</v>
      </c>
      <c r="C49" s="28">
        <f t="shared" si="7"/>
        <v>46320</v>
      </c>
      <c r="D49" s="27">
        <f>COUNTIFS('Tippmix napló'!$C$7:$C$133,"&gt;="&amp;B49,'Tippmix napló'!$C$7:$C$133,"&lt;"&amp;C49+1,'Tippmix napló'!$G$7:$G$133,"Nyert")+COUNTIFS('Tippmix napló'!$C$7:$C$133,"&gt;="&amp;B49,'Tippmix napló'!$C$7:$C$133,"&lt;"&amp;C49+1,'Tippmix napló'!$G$7:$G$133,"Veszített")</f>
        <v>7</v>
      </c>
      <c r="E49" s="27">
        <f>COUNTIFS('Tippmix napló'!$C$7:$C$133,"&gt;="&amp;B49,'Tippmix napló'!$C$7:$C$133,"&lt;"&amp;C49+1,'Tippmix napló'!$G$7:$G$133,"Nyert")</f>
        <v>2</v>
      </c>
      <c r="F49" s="27">
        <f>COUNTIFS('Tippmix napló'!$C$7:$C$133,"&gt;="&amp;B49,'Tippmix napló'!$C$7:$C$133,"&lt;"&amp;C49+1,'Tippmix napló'!$G$7:$G$133,"Veszített")</f>
        <v>5</v>
      </c>
      <c r="G49" s="29">
        <f t="shared" si="8"/>
        <v>0.2857142857142857</v>
      </c>
      <c r="H49" s="30">
        <f>SUMIFS('Tippmix napló'!$I$7:$I$133,'Tippmix napló'!$C$7:$C$133,"&gt;="&amp;B49,'Tippmix napló'!$C$7:$C$133,"&lt;"&amp;C49+1)</f>
        <v>-5180</v>
      </c>
      <c r="I49" s="31">
        <f>SUMIFS('Tippmix napló'!$D$7:$D$133,'Tippmix napló'!$C$7:$C$133,"&gt;="&amp;B49,'Tippmix napló'!$C$7:$C$133,"&lt;"&amp;C49+1,'Tippmix napló'!$G$7:$G$133,"Nyert")+SUMIFS('Tippmix napló'!$D$7:$D$133,'Tippmix napló'!$C$7:$C$133,"&gt;="&amp;B49,'Tippmix napló'!$C$7:$C$133,"&lt;"&amp;C49+1,'Tippmix napló'!$G$7:$G$133,"Veszített")</f>
        <v>14000</v>
      </c>
      <c r="J49" s="29">
        <f t="shared" si="9"/>
        <v>-0.37</v>
      </c>
    </row>
    <row r="50" spans="1:10" x14ac:dyDescent="0.25">
      <c r="A50" s="33" t="str">
        <f t="shared" ca="1" si="5"/>
        <v>CW44</v>
      </c>
      <c r="B50" s="34">
        <f t="shared" si="6"/>
        <v>46321</v>
      </c>
      <c r="C50" s="34">
        <f t="shared" si="7"/>
        <v>46327</v>
      </c>
      <c r="D50" s="33">
        <f>COUNTIFS('Tippmix napló'!$C$7:$C$133,"&gt;="&amp;B50,'Tippmix napló'!$C$7:$C$133,"&lt;"&amp;C50+1,'Tippmix napló'!$G$7:$G$133,"Nyert")+COUNTIFS('Tippmix napló'!$C$7:$C$133,"&gt;="&amp;B50,'Tippmix napló'!$C$7:$C$133,"&lt;"&amp;C50+1,'Tippmix napló'!$G$7:$G$133,"Veszített")</f>
        <v>0</v>
      </c>
      <c r="E50" s="33">
        <f>COUNTIFS('Tippmix napló'!$C$7:$C$133,"&gt;="&amp;B50,'Tippmix napló'!$C$7:$C$133,"&lt;"&amp;C50+1,'Tippmix napló'!$G$7:$G$133,"Nyert")</f>
        <v>0</v>
      </c>
      <c r="F50" s="33">
        <f>COUNTIFS('Tippmix napló'!$C$7:$C$133,"&gt;="&amp;B50,'Tippmix napló'!$C$7:$C$133,"&lt;"&amp;C50+1,'Tippmix napló'!$G$7:$G$133,"Veszített")</f>
        <v>0</v>
      </c>
      <c r="G50" s="35">
        <f t="shared" si="8"/>
        <v>0</v>
      </c>
      <c r="H50" s="36">
        <f>SUMIFS('Tippmix napló'!$I$7:$I$133,'Tippmix napló'!$C$7:$C$133,"&gt;="&amp;B50,'Tippmix napló'!$C$7:$C$133,"&lt;"&amp;C50+1)</f>
        <v>0</v>
      </c>
      <c r="I50" s="37">
        <f>SUMIFS('Tippmix napló'!$D$7:$D$133,'Tippmix napló'!$C$7:$C$133,"&gt;="&amp;B50,'Tippmix napló'!$C$7:$C$133,"&lt;"&amp;C50+1,'Tippmix napló'!$G$7:$G$133,"Nyert")+SUMIFS('Tippmix napló'!$D$7:$D$133,'Tippmix napló'!$C$7:$C$133,"&gt;="&amp;B50,'Tippmix napló'!$C$7:$C$133,"&lt;"&amp;C50+1,'Tippmix napló'!$G$7:$G$133,"Veszített")</f>
        <v>0</v>
      </c>
      <c r="J50" s="35">
        <f t="shared" si="9"/>
        <v>0</v>
      </c>
    </row>
    <row r="51" spans="1:10" x14ac:dyDescent="0.25">
      <c r="A51" s="27" t="str">
        <f t="shared" ca="1" si="5"/>
        <v>CW45</v>
      </c>
      <c r="B51" s="28">
        <f t="shared" si="6"/>
        <v>46328</v>
      </c>
      <c r="C51" s="28">
        <f t="shared" si="7"/>
        <v>46334</v>
      </c>
      <c r="D51" s="27">
        <f>COUNTIFS('Tippmix napló'!$C$7:$C$133,"&gt;="&amp;B51,'Tippmix napló'!$C$7:$C$133,"&lt;"&amp;C51+1,'Tippmix napló'!$G$7:$G$133,"Nyert")+COUNTIFS('Tippmix napló'!$C$7:$C$133,"&gt;="&amp;B51,'Tippmix napló'!$C$7:$C$133,"&lt;"&amp;C51+1,'Tippmix napló'!$G$7:$G$133,"Veszített")</f>
        <v>0</v>
      </c>
      <c r="E51" s="27">
        <f>COUNTIFS('Tippmix napló'!$C$7:$C$133,"&gt;="&amp;B51,'Tippmix napló'!$C$7:$C$133,"&lt;"&amp;C51+1,'Tippmix napló'!$G$7:$G$133,"Nyert")</f>
        <v>0</v>
      </c>
      <c r="F51" s="27">
        <f>COUNTIFS('Tippmix napló'!$C$7:$C$133,"&gt;="&amp;B51,'Tippmix napló'!$C$7:$C$133,"&lt;"&amp;C51+1,'Tippmix napló'!$G$7:$G$133,"Veszített")</f>
        <v>0</v>
      </c>
      <c r="G51" s="29">
        <f t="shared" si="8"/>
        <v>0</v>
      </c>
      <c r="H51" s="30">
        <f>SUMIFS('Tippmix napló'!$I$7:$I$133,'Tippmix napló'!$C$7:$C$133,"&gt;="&amp;B51,'Tippmix napló'!$C$7:$C$133,"&lt;"&amp;C51+1)</f>
        <v>0</v>
      </c>
      <c r="I51" s="31">
        <f>SUMIFS('Tippmix napló'!$D$7:$D$133,'Tippmix napló'!$C$7:$C$133,"&gt;="&amp;B51,'Tippmix napló'!$C$7:$C$133,"&lt;"&amp;C51+1,'Tippmix napló'!$G$7:$G$133,"Nyert")+SUMIFS('Tippmix napló'!$D$7:$D$133,'Tippmix napló'!$C$7:$C$133,"&gt;="&amp;B51,'Tippmix napló'!$C$7:$C$133,"&lt;"&amp;C51+1,'Tippmix napló'!$G$7:$G$133,"Veszített")</f>
        <v>0</v>
      </c>
      <c r="J51" s="29">
        <f t="shared" si="9"/>
        <v>0</v>
      </c>
    </row>
    <row r="52" spans="1:10" x14ac:dyDescent="0.25">
      <c r="A52" s="33" t="str">
        <f t="shared" ca="1" si="5"/>
        <v>CW46</v>
      </c>
      <c r="B52" s="34">
        <f t="shared" si="6"/>
        <v>46335</v>
      </c>
      <c r="C52" s="34">
        <f t="shared" si="7"/>
        <v>46341</v>
      </c>
      <c r="D52" s="33">
        <f>COUNTIFS('Tippmix napló'!$C$7:$C$133,"&gt;="&amp;B52,'Tippmix napló'!$C$7:$C$133,"&lt;"&amp;C52+1,'Tippmix napló'!$G$7:$G$133,"Nyert")+COUNTIFS('Tippmix napló'!$C$7:$C$133,"&gt;="&amp;B52,'Tippmix napló'!$C$7:$C$133,"&lt;"&amp;C52+1,'Tippmix napló'!$G$7:$G$133,"Veszített")</f>
        <v>0</v>
      </c>
      <c r="E52" s="33">
        <f>COUNTIFS('Tippmix napló'!$C$7:$C$133,"&gt;="&amp;B52,'Tippmix napló'!$C$7:$C$133,"&lt;"&amp;C52+1,'Tippmix napló'!$G$7:$G$133,"Nyert")</f>
        <v>0</v>
      </c>
      <c r="F52" s="33">
        <f>COUNTIFS('Tippmix napló'!$C$7:$C$133,"&gt;="&amp;B52,'Tippmix napló'!$C$7:$C$133,"&lt;"&amp;C52+1,'Tippmix napló'!$G$7:$G$133,"Veszített")</f>
        <v>0</v>
      </c>
      <c r="G52" s="35">
        <f t="shared" si="8"/>
        <v>0</v>
      </c>
      <c r="H52" s="36">
        <f>SUMIFS('Tippmix napló'!$I$7:$I$133,'Tippmix napló'!$C$7:$C$133,"&gt;="&amp;B52,'Tippmix napló'!$C$7:$C$133,"&lt;"&amp;C52+1)</f>
        <v>0</v>
      </c>
      <c r="I52" s="37">
        <f>SUMIFS('Tippmix napló'!$D$7:$D$133,'Tippmix napló'!$C$7:$C$133,"&gt;="&amp;B52,'Tippmix napló'!$C$7:$C$133,"&lt;"&amp;C52+1,'Tippmix napló'!$G$7:$G$133,"Nyert")+SUMIFS('Tippmix napló'!$D$7:$D$133,'Tippmix napló'!$C$7:$C$133,"&gt;="&amp;B52,'Tippmix napló'!$C$7:$C$133,"&lt;"&amp;C52+1,'Tippmix napló'!$G$7:$G$133,"Veszített")</f>
        <v>0</v>
      </c>
      <c r="J52" s="35">
        <f t="shared" si="9"/>
        <v>0</v>
      </c>
    </row>
    <row r="53" spans="1:10" x14ac:dyDescent="0.25">
      <c r="A53" s="27" t="str">
        <f t="shared" ca="1" si="5"/>
        <v>CW47</v>
      </c>
      <c r="B53" s="28">
        <f t="shared" si="6"/>
        <v>46342</v>
      </c>
      <c r="C53" s="28">
        <f t="shared" si="7"/>
        <v>46348</v>
      </c>
      <c r="D53" s="27">
        <f>COUNTIFS('Tippmix napló'!$C$7:$C$133,"&gt;="&amp;B53,'Tippmix napló'!$C$7:$C$133,"&lt;"&amp;C53+1,'Tippmix napló'!$G$7:$G$133,"Nyert")+COUNTIFS('Tippmix napló'!$C$7:$C$133,"&gt;="&amp;B53,'Tippmix napló'!$C$7:$C$133,"&lt;"&amp;C53+1,'Tippmix napló'!$G$7:$G$133,"Veszített")</f>
        <v>0</v>
      </c>
      <c r="E53" s="27">
        <f>COUNTIFS('Tippmix napló'!$C$7:$C$133,"&gt;="&amp;B53,'Tippmix napló'!$C$7:$C$133,"&lt;"&amp;C53+1,'Tippmix napló'!$G$7:$G$133,"Nyert")</f>
        <v>0</v>
      </c>
      <c r="F53" s="27">
        <f>COUNTIFS('Tippmix napló'!$C$7:$C$133,"&gt;="&amp;B53,'Tippmix napló'!$C$7:$C$133,"&lt;"&amp;C53+1,'Tippmix napló'!$G$7:$G$133,"Veszített")</f>
        <v>0</v>
      </c>
      <c r="G53" s="29">
        <f t="shared" si="8"/>
        <v>0</v>
      </c>
      <c r="H53" s="30">
        <f>SUMIFS('Tippmix napló'!$I$7:$I$133,'Tippmix napló'!$C$7:$C$133,"&gt;="&amp;B53,'Tippmix napló'!$C$7:$C$133,"&lt;"&amp;C53+1)</f>
        <v>0</v>
      </c>
      <c r="I53" s="31">
        <f>SUMIFS('Tippmix napló'!$D$7:$D$133,'Tippmix napló'!$C$7:$C$133,"&gt;="&amp;B53,'Tippmix napló'!$C$7:$C$133,"&lt;"&amp;C53+1,'Tippmix napló'!$G$7:$G$133,"Nyert")+SUMIFS('Tippmix napló'!$D$7:$D$133,'Tippmix napló'!$C$7:$C$133,"&gt;="&amp;B53,'Tippmix napló'!$C$7:$C$133,"&lt;"&amp;C53+1,'Tippmix napló'!$G$7:$G$133,"Veszített")</f>
        <v>0</v>
      </c>
      <c r="J53" s="29">
        <f t="shared" si="9"/>
        <v>0</v>
      </c>
    </row>
    <row r="54" spans="1:10" x14ac:dyDescent="0.25">
      <c r="A54" s="33" t="str">
        <f t="shared" ca="1" si="5"/>
        <v>CW48</v>
      </c>
      <c r="B54" s="34">
        <f t="shared" si="6"/>
        <v>46349</v>
      </c>
      <c r="C54" s="34">
        <f t="shared" si="7"/>
        <v>46355</v>
      </c>
      <c r="D54" s="33">
        <f>COUNTIFS('Tippmix napló'!$C$7:$C$133,"&gt;="&amp;B54,'Tippmix napló'!$C$7:$C$133,"&lt;"&amp;C54+1,'Tippmix napló'!$G$7:$G$133,"Nyert")+COUNTIFS('Tippmix napló'!$C$7:$C$133,"&gt;="&amp;B54,'Tippmix napló'!$C$7:$C$133,"&lt;"&amp;C54+1,'Tippmix napló'!$G$7:$G$133,"Veszített")</f>
        <v>0</v>
      </c>
      <c r="E54" s="33">
        <f>COUNTIFS('Tippmix napló'!$C$7:$C$133,"&gt;="&amp;B54,'Tippmix napló'!$C$7:$C$133,"&lt;"&amp;C54+1,'Tippmix napló'!$G$7:$G$133,"Nyert")</f>
        <v>0</v>
      </c>
      <c r="F54" s="33">
        <f>COUNTIFS('Tippmix napló'!$C$7:$C$133,"&gt;="&amp;B54,'Tippmix napló'!$C$7:$C$133,"&lt;"&amp;C54+1,'Tippmix napló'!$G$7:$G$133,"Veszített")</f>
        <v>0</v>
      </c>
      <c r="G54" s="35">
        <f t="shared" si="8"/>
        <v>0</v>
      </c>
      <c r="H54" s="36">
        <f>SUMIFS('Tippmix napló'!$I$7:$I$133,'Tippmix napló'!$C$7:$C$133,"&gt;="&amp;B54,'Tippmix napló'!$C$7:$C$133,"&lt;"&amp;C54+1)</f>
        <v>0</v>
      </c>
      <c r="I54" s="37">
        <f>SUMIFS('Tippmix napló'!$D$7:$D$133,'Tippmix napló'!$C$7:$C$133,"&gt;="&amp;B54,'Tippmix napló'!$C$7:$C$133,"&lt;"&amp;C54+1,'Tippmix napló'!$G$7:$G$133,"Nyert")+SUMIFS('Tippmix napló'!$D$7:$D$133,'Tippmix napló'!$C$7:$C$133,"&gt;="&amp;B54,'Tippmix napló'!$C$7:$C$133,"&lt;"&amp;C54+1,'Tippmix napló'!$G$7:$G$133,"Veszített")</f>
        <v>0</v>
      </c>
      <c r="J54" s="35">
        <f t="shared" si="9"/>
        <v>0</v>
      </c>
    </row>
    <row r="55" spans="1:10" x14ac:dyDescent="0.25">
      <c r="A55" s="27" t="str">
        <f t="shared" ca="1" si="5"/>
        <v>CW49</v>
      </c>
      <c r="B55" s="28">
        <f t="shared" si="6"/>
        <v>46356</v>
      </c>
      <c r="C55" s="28">
        <f t="shared" si="7"/>
        <v>46362</v>
      </c>
      <c r="D55" s="27">
        <f>COUNTIFS('Tippmix napló'!$C$7:$C$133,"&gt;="&amp;B55,'Tippmix napló'!$C$7:$C$133,"&lt;"&amp;C55+1,'Tippmix napló'!$G$7:$G$133,"Nyert")+COUNTIFS('Tippmix napló'!$C$7:$C$133,"&gt;="&amp;B55,'Tippmix napló'!$C$7:$C$133,"&lt;"&amp;C55+1,'Tippmix napló'!$G$7:$G$133,"Veszített")</f>
        <v>0</v>
      </c>
      <c r="E55" s="27">
        <f>COUNTIFS('Tippmix napló'!$C$7:$C$133,"&gt;="&amp;B55,'Tippmix napló'!$C$7:$C$133,"&lt;"&amp;C55+1,'Tippmix napló'!$G$7:$G$133,"Nyert")</f>
        <v>0</v>
      </c>
      <c r="F55" s="27">
        <f>COUNTIFS('Tippmix napló'!$C$7:$C$133,"&gt;="&amp;B55,'Tippmix napló'!$C$7:$C$133,"&lt;"&amp;C55+1,'Tippmix napló'!$G$7:$G$133,"Veszített")</f>
        <v>0</v>
      </c>
      <c r="G55" s="29">
        <f t="shared" si="8"/>
        <v>0</v>
      </c>
      <c r="H55" s="30">
        <f>SUMIFS('Tippmix napló'!$I$7:$I$133,'Tippmix napló'!$C$7:$C$133,"&gt;="&amp;B55,'Tippmix napló'!$C$7:$C$133,"&lt;"&amp;C55+1)</f>
        <v>0</v>
      </c>
      <c r="I55" s="31">
        <f>SUMIFS('Tippmix napló'!$D$7:$D$133,'Tippmix napló'!$C$7:$C$133,"&gt;="&amp;B55,'Tippmix napló'!$C$7:$C$133,"&lt;"&amp;C55+1,'Tippmix napló'!$G$7:$G$133,"Nyert")+SUMIFS('Tippmix napló'!$D$7:$D$133,'Tippmix napló'!$C$7:$C$133,"&gt;="&amp;B55,'Tippmix napló'!$C$7:$C$133,"&lt;"&amp;C55+1,'Tippmix napló'!$G$7:$G$133,"Veszített")</f>
        <v>0</v>
      </c>
      <c r="J55" s="29">
        <f t="shared" si="9"/>
        <v>0</v>
      </c>
    </row>
    <row r="56" spans="1:10" x14ac:dyDescent="0.25">
      <c r="A56" s="33" t="str">
        <f t="shared" ca="1" si="5"/>
        <v>CW50</v>
      </c>
      <c r="B56" s="34">
        <f t="shared" si="6"/>
        <v>46363</v>
      </c>
      <c r="C56" s="34">
        <f t="shared" si="7"/>
        <v>46369</v>
      </c>
      <c r="D56" s="33">
        <f>COUNTIFS('Tippmix napló'!$C$7:$C$133,"&gt;="&amp;B56,'Tippmix napló'!$C$7:$C$133,"&lt;"&amp;C56+1,'Tippmix napló'!$G$7:$G$133,"Nyert")+COUNTIFS('Tippmix napló'!$C$7:$C$133,"&gt;="&amp;B56,'Tippmix napló'!$C$7:$C$133,"&lt;"&amp;C56+1,'Tippmix napló'!$G$7:$G$133,"Veszített")</f>
        <v>0</v>
      </c>
      <c r="E56" s="33">
        <f>COUNTIFS('Tippmix napló'!$C$7:$C$133,"&gt;="&amp;B56,'Tippmix napló'!$C$7:$C$133,"&lt;"&amp;C56+1,'Tippmix napló'!$G$7:$G$133,"Nyert")</f>
        <v>0</v>
      </c>
      <c r="F56" s="33">
        <f>COUNTIFS('Tippmix napló'!$C$7:$C$133,"&gt;="&amp;B56,'Tippmix napló'!$C$7:$C$133,"&lt;"&amp;C56+1,'Tippmix napló'!$G$7:$G$133,"Veszített")</f>
        <v>0</v>
      </c>
      <c r="G56" s="35">
        <f t="shared" si="8"/>
        <v>0</v>
      </c>
      <c r="H56" s="36">
        <f>SUMIFS('Tippmix napló'!$I$7:$I$133,'Tippmix napló'!$C$7:$C$133,"&gt;="&amp;B56,'Tippmix napló'!$C$7:$C$133,"&lt;"&amp;C56+1)</f>
        <v>0</v>
      </c>
      <c r="I56" s="37">
        <f>SUMIFS('Tippmix napló'!$D$7:$D$133,'Tippmix napló'!$C$7:$C$133,"&gt;="&amp;B56,'Tippmix napló'!$C$7:$C$133,"&lt;"&amp;C56+1,'Tippmix napló'!$G$7:$G$133,"Nyert")+SUMIFS('Tippmix napló'!$D$7:$D$133,'Tippmix napló'!$C$7:$C$133,"&gt;="&amp;B56,'Tippmix napló'!$C$7:$C$133,"&lt;"&amp;C56+1,'Tippmix napló'!$G$7:$G$133,"Veszített")</f>
        <v>0</v>
      </c>
      <c r="J56" s="35">
        <f t="shared" si="9"/>
        <v>0</v>
      </c>
    </row>
    <row r="57" spans="1:10" x14ac:dyDescent="0.25">
      <c r="A57" s="27" t="str">
        <f t="shared" ca="1" si="5"/>
        <v>CW51</v>
      </c>
      <c r="B57" s="28">
        <f t="shared" si="6"/>
        <v>46370</v>
      </c>
      <c r="C57" s="28">
        <f t="shared" si="7"/>
        <v>46376</v>
      </c>
      <c r="D57" s="27">
        <f>COUNTIFS('Tippmix napló'!$C$7:$C$133,"&gt;="&amp;B57,'Tippmix napló'!$C$7:$C$133,"&lt;"&amp;C57+1,'Tippmix napló'!$G$7:$G$133,"Nyert")+COUNTIFS('Tippmix napló'!$C$7:$C$133,"&gt;="&amp;B57,'Tippmix napló'!$C$7:$C$133,"&lt;"&amp;C57+1,'Tippmix napló'!$G$7:$G$133,"Veszített")</f>
        <v>0</v>
      </c>
      <c r="E57" s="27">
        <f>COUNTIFS('Tippmix napló'!$C$7:$C$133,"&gt;="&amp;B57,'Tippmix napló'!$C$7:$C$133,"&lt;"&amp;C57+1,'Tippmix napló'!$G$7:$G$133,"Nyert")</f>
        <v>0</v>
      </c>
      <c r="F57" s="27">
        <f>COUNTIFS('Tippmix napló'!$C$7:$C$133,"&gt;="&amp;B57,'Tippmix napló'!$C$7:$C$133,"&lt;"&amp;C57+1,'Tippmix napló'!$G$7:$G$133,"Veszített")</f>
        <v>0</v>
      </c>
      <c r="G57" s="29">
        <f t="shared" si="8"/>
        <v>0</v>
      </c>
      <c r="H57" s="30">
        <f>SUMIFS('Tippmix napló'!$I$7:$I$133,'Tippmix napló'!$C$7:$C$133,"&gt;="&amp;B57,'Tippmix napló'!$C$7:$C$133,"&lt;"&amp;C57+1)</f>
        <v>0</v>
      </c>
      <c r="I57" s="31">
        <f>SUMIFS('Tippmix napló'!$D$7:$D$133,'Tippmix napló'!$C$7:$C$133,"&gt;="&amp;B57,'Tippmix napló'!$C$7:$C$133,"&lt;"&amp;C57+1,'Tippmix napló'!$G$7:$G$133,"Nyert")+SUMIFS('Tippmix napló'!$D$7:$D$133,'Tippmix napló'!$C$7:$C$133,"&gt;="&amp;B57,'Tippmix napló'!$C$7:$C$133,"&lt;"&amp;C57+1,'Tippmix napló'!$G$7:$G$133,"Veszített")</f>
        <v>0</v>
      </c>
      <c r="J57" s="29">
        <f t="shared" si="9"/>
        <v>0</v>
      </c>
    </row>
    <row r="58" spans="1:10" x14ac:dyDescent="0.25">
      <c r="A58" s="33" t="str">
        <f t="shared" ca="1" si="5"/>
        <v>CW52</v>
      </c>
      <c r="B58" s="34">
        <f t="shared" si="6"/>
        <v>46377</v>
      </c>
      <c r="C58" s="34">
        <f t="shared" si="7"/>
        <v>46383</v>
      </c>
      <c r="D58" s="33">
        <f>COUNTIFS('Tippmix napló'!$C$7:$C$133,"&gt;="&amp;B58,'Tippmix napló'!$C$7:$C$133,"&lt;"&amp;C58+1,'Tippmix napló'!$G$7:$G$133,"Nyert")+COUNTIFS('Tippmix napló'!$C$7:$C$133,"&gt;="&amp;B58,'Tippmix napló'!$C$7:$C$133,"&lt;"&amp;C58+1,'Tippmix napló'!$G$7:$G$133,"Veszített")</f>
        <v>0</v>
      </c>
      <c r="E58" s="33">
        <f>COUNTIFS('Tippmix napló'!$C$7:$C$133,"&gt;="&amp;B58,'Tippmix napló'!$C$7:$C$133,"&lt;"&amp;C58+1,'Tippmix napló'!$G$7:$G$133,"Nyert")</f>
        <v>0</v>
      </c>
      <c r="F58" s="33">
        <f>COUNTIFS('Tippmix napló'!$C$7:$C$133,"&gt;="&amp;B58,'Tippmix napló'!$C$7:$C$133,"&lt;"&amp;C58+1,'Tippmix napló'!$G$7:$G$133,"Veszített")</f>
        <v>0</v>
      </c>
      <c r="G58" s="35">
        <f t="shared" si="8"/>
        <v>0</v>
      </c>
      <c r="H58" s="36">
        <f>SUMIFS('Tippmix napló'!$I$7:$I$133,'Tippmix napló'!$C$7:$C$133,"&gt;="&amp;B58,'Tippmix napló'!$C$7:$C$133,"&lt;"&amp;C58+1)</f>
        <v>0</v>
      </c>
      <c r="I58" s="37">
        <f>SUMIFS('Tippmix napló'!$D$7:$D$133,'Tippmix napló'!$C$7:$C$133,"&gt;="&amp;B58,'Tippmix napló'!$C$7:$C$133,"&lt;"&amp;C58+1,'Tippmix napló'!$G$7:$G$133,"Nyert")+SUMIFS('Tippmix napló'!$D$7:$D$133,'Tippmix napló'!$C$7:$C$133,"&gt;="&amp;B58,'Tippmix napló'!$C$7:$C$133,"&lt;"&amp;C58+1,'Tippmix napló'!$G$7:$G$133,"Veszített")</f>
        <v>0</v>
      </c>
      <c r="J58" s="35">
        <f t="shared" si="9"/>
        <v>0</v>
      </c>
    </row>
    <row r="59" spans="1:10" x14ac:dyDescent="0.25">
      <c r="A59" s="27" t="str">
        <f t="shared" ca="1" si="5"/>
        <v>CW53</v>
      </c>
      <c r="B59" s="28">
        <f t="shared" si="6"/>
        <v>46384</v>
      </c>
      <c r="C59" s="28">
        <f t="shared" si="7"/>
        <v>46390</v>
      </c>
      <c r="D59" s="27">
        <f>COUNTIFS('Tippmix napló'!$C$7:$C$133,"&gt;="&amp;B59,'Tippmix napló'!$C$7:$C$133,"&lt;"&amp;C59+1,'Tippmix napló'!$G$7:$G$133,"Nyert")+COUNTIFS('Tippmix napló'!$C$7:$C$133,"&gt;="&amp;B59,'Tippmix napló'!$C$7:$C$133,"&lt;"&amp;C59+1,'Tippmix napló'!$G$7:$G$133,"Veszített")</f>
        <v>0</v>
      </c>
      <c r="E59" s="27">
        <f>COUNTIFS('Tippmix napló'!$C$7:$C$133,"&gt;="&amp;B59,'Tippmix napló'!$C$7:$C$133,"&lt;"&amp;C59+1,'Tippmix napló'!$G$7:$G$133,"Nyert")</f>
        <v>0</v>
      </c>
      <c r="F59" s="27">
        <f>COUNTIFS('Tippmix napló'!$C$7:$C$133,"&gt;="&amp;B59,'Tippmix napló'!$C$7:$C$133,"&lt;"&amp;C59+1,'Tippmix napló'!$G$7:$G$133,"Veszített")</f>
        <v>0</v>
      </c>
      <c r="G59" s="29">
        <f t="shared" si="8"/>
        <v>0</v>
      </c>
      <c r="H59" s="30">
        <f>SUMIFS('Tippmix napló'!$I$7:$I$133,'Tippmix napló'!$C$7:$C$133,"&gt;="&amp;B59,'Tippmix napló'!$C$7:$C$133,"&lt;"&amp;C59+1)</f>
        <v>0</v>
      </c>
      <c r="I59" s="31">
        <f>SUMIFS('Tippmix napló'!$D$7:$D$133,'Tippmix napló'!$C$7:$C$133,"&gt;="&amp;B59,'Tippmix napló'!$C$7:$C$133,"&lt;"&amp;C59+1,'Tippmix napló'!$G$7:$G$133,"Nyert")+SUMIFS('Tippmix napló'!$D$7:$D$133,'Tippmix napló'!$C$7:$C$133,"&gt;="&amp;B59,'Tippmix napló'!$C$7:$C$133,"&lt;"&amp;C59+1,'Tippmix napló'!$G$7:$G$133,"Veszített")</f>
        <v>0</v>
      </c>
      <c r="J59" s="29">
        <f t="shared" si="9"/>
        <v>0</v>
      </c>
    </row>
  </sheetData>
  <autoFilter ref="A6:J59" xr:uid="{00000000-0009-0000-0000-000001000000}">
    <filterColumn colId="0">
      <filters>
        <filter val="CW35"/>
        <filter val="CW36"/>
        <filter val="CW37"/>
        <filter val="CW38"/>
        <filter val="CW39"/>
        <filter val="CW40"/>
        <filter val="CW41"/>
        <filter val="CW42"/>
        <filter val="CW43"/>
        <filter val="CW44"/>
        <filter val="CW45"/>
        <filter val="CW46"/>
        <filter val="CW47"/>
        <filter val="CW48"/>
        <filter val="CW49"/>
        <filter val="CW50"/>
        <filter val="CW51"/>
        <filter val="CW52"/>
        <filter val="CW53"/>
      </filters>
    </filterColumn>
  </autoFilter>
  <mergeCells count="2">
    <mergeCell ref="L1:M1"/>
    <mergeCell ref="A1:J1"/>
  </mergeCells>
  <conditionalFormatting sqref="H7:H59">
    <cfRule type="cellIs" dxfId="1" priority="1" operator="greaterThan">
      <formula>0</formula>
    </cfRule>
    <cfRule type="cellIs" dxfId="0" priority="2" operator="lessThan">
      <formula>0</formula>
    </cfRule>
  </conditionalFormatting>
  <dataValidations count="1">
    <dataValidation type="whole" errorTitle="Érvénytelen év" error="2000 és 2100 közötti évet adj meg." sqref="B3" xr:uid="{00000000-0002-0000-0100-000000000000}">
      <formula1>2000</formula1>
      <formula2>2100</formula2>
    </dataValidation>
  </dataValidations>
  <pageMargins left="0.75" right="0.75" top="1" bottom="1" header="0.5" footer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workbookViewId="0">
      <selection activeCell="B7" sqref="B7"/>
    </sheetView>
  </sheetViews>
  <sheetFormatPr defaultRowHeight="15" x14ac:dyDescent="0.25"/>
  <cols>
    <col min="1" max="1" width="25" customWidth="1"/>
    <col min="2" max="2" width="22" customWidth="1"/>
  </cols>
  <sheetData>
    <row r="1" spans="1:4" ht="26.25" customHeight="1" x14ac:dyDescent="0.4">
      <c r="A1" s="57" t="s">
        <v>28</v>
      </c>
      <c r="B1" s="44"/>
      <c r="C1" s="44"/>
      <c r="D1" s="44"/>
    </row>
    <row r="2" spans="1:4" x14ac:dyDescent="0.25">
      <c r="A2" s="2"/>
      <c r="B2" s="2"/>
      <c r="C2" s="2"/>
      <c r="D2" s="2"/>
    </row>
    <row r="3" spans="1:4" ht="19.5" customHeight="1" x14ac:dyDescent="0.3">
      <c r="A3" s="5" t="s">
        <v>29</v>
      </c>
      <c r="B3" s="6">
        <f>SUM('Tippmix napló'!I7:I133)</f>
        <v>21180</v>
      </c>
      <c r="C3" s="2"/>
      <c r="D3" s="2"/>
    </row>
    <row r="4" spans="1:4" ht="19.5" customHeight="1" x14ac:dyDescent="0.3">
      <c r="A4" s="5" t="s">
        <v>30</v>
      </c>
      <c r="B4" s="6">
        <f ca="1">SUMIFS('Tippmix napló'!I7:I133,'Tippmix napló'!C7:C133,"&gt;="&amp;TODAY()-WEEKDAY(TODAY(),2)+1,'Tippmix napló'!C7:C133,"&lt;"&amp;TODAY()-WEEKDAY(TODAY(),2)+8)</f>
        <v>0</v>
      </c>
      <c r="C4" s="2"/>
      <c r="D4" s="2"/>
    </row>
    <row r="5" spans="1:4" ht="19.5" customHeight="1" x14ac:dyDescent="0.3">
      <c r="A5" s="5" t="s">
        <v>31</v>
      </c>
      <c r="B5" s="6">
        <f ca="1">SUMIFS('Tippmix napló'!I7:I133,'Tippmix napló'!C7:C133,"&gt;="&amp;EOMONTH(TODAY(),-1)+1,'Tippmix napló'!C7:C133,"&lt;="&amp;EOMONTH(TODAY(),0))</f>
        <v>13340</v>
      </c>
      <c r="C5" s="2"/>
      <c r="D5" s="2"/>
    </row>
    <row r="6" spans="1:4" ht="19.5" customHeight="1" x14ac:dyDescent="0.3">
      <c r="A6" s="5" t="s">
        <v>32</v>
      </c>
      <c r="B6" s="7">
        <f>IFERROR(COUNTIF('Tippmix napló'!G7:G133,"Nyert")/(COUNTIF('Tippmix napló'!G7:G133,"Nyert")+COUNTIF('Tippmix napló'!G7:G133,"Veszített")),0)</f>
        <v>0.60606060606060608</v>
      </c>
      <c r="C6" s="2"/>
      <c r="D6" s="2"/>
    </row>
    <row r="7" spans="1:4" ht="19.5" customHeight="1" x14ac:dyDescent="0.3">
      <c r="A7" s="5" t="s">
        <v>33</v>
      </c>
      <c r="B7" s="7">
        <f ca="1">IFERROR(COUNTIFS('Tippmix napló'!G7:G133,"Nyert",'Tippmix napló'!C7:C133,"&gt;="&amp;TODAY()-WEEKDAY(TODAY(),2)+1,'Tippmix napló'!C7:C133,"&lt;"&amp;TODAY()-WEEKDAY(TODAY(),2)+8)/(COUNTIFS('Tippmix napló'!G7:G133,"Nyert",'Tippmix napló'!C7:C133,"&gt;="&amp;TODAY()-WEEKDAY(TODAY(),2)+1,'Tippmix napló'!C7:C133,"&lt;"&amp;TODAY()-WEEKDAY(TODAY(),2)+8)+COUNTIFS('Tippmix napló'!G7:G133,"Veszített",'Tippmix napló'!C7:C133,"&gt;="&amp;TODAY()-WEEKDAY(TODAY(),2)+1,'Tippmix napló'!C7:C133,"&lt;"&amp;TODAY()-WEEKDAY(TODAY(),2)+8)),0)</f>
        <v>0</v>
      </c>
      <c r="C7" s="2"/>
      <c r="D7" s="2"/>
    </row>
    <row r="8" spans="1:4" ht="19.5" customHeight="1" x14ac:dyDescent="0.3">
      <c r="A8" s="5" t="s">
        <v>34</v>
      </c>
      <c r="B8" s="7">
        <f ca="1">IFERROR(COUNTIFS('Tippmix napló'!G7:G133,"Nyert",'Tippmix napló'!C7:C133,"&gt;="&amp;EOMONTH(TODAY(),-1)+1,'Tippmix napló'!C7:C133,"&lt;="&amp;EOMONTH(TODAY(),0))/(COUNTIFS('Tippmix napló'!G7:G133,"Nyert",'Tippmix napló'!C7:C133,"&gt;="&amp;EOMONTH(TODAY(),-1)+1,'Tippmix napló'!C7:C133,"&lt;="&amp;EOMONTH(TODAY(),0))+COUNTIFS('Tippmix napló'!G7:G133,"Veszített",'Tippmix napló'!C7:C133,"&gt;="&amp;EOMONTH(TODAY(),-1)+1,'Tippmix napló'!C7:C133,"&lt;="&amp;EOMONTH(TODAY(),0))),0)</f>
        <v>0.6</v>
      </c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workbookViewId="0">
      <selection sqref="A1:F1"/>
    </sheetView>
  </sheetViews>
  <sheetFormatPr defaultRowHeight="15" x14ac:dyDescent="0.25"/>
  <cols>
    <col min="1" max="1" width="8" customWidth="1"/>
    <col min="2" max="2" width="25" customWidth="1"/>
    <col min="3" max="6" width="24" customWidth="1"/>
  </cols>
  <sheetData>
    <row r="1" spans="1:6" ht="26.25" customHeight="1" x14ac:dyDescent="0.4">
      <c r="A1" s="57" t="s">
        <v>35</v>
      </c>
      <c r="B1" s="44"/>
      <c r="C1" s="44"/>
      <c r="D1" s="44"/>
      <c r="E1" s="44"/>
      <c r="F1" s="44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3" t="s">
        <v>36</v>
      </c>
      <c r="B3" s="4" t="s">
        <v>5</v>
      </c>
      <c r="C3" s="58" t="s">
        <v>37</v>
      </c>
      <c r="D3" s="44"/>
      <c r="E3" s="44"/>
      <c r="F3" s="44"/>
    </row>
    <row r="4" spans="1:6" x14ac:dyDescent="0.25">
      <c r="A4" s="3" t="s">
        <v>38</v>
      </c>
      <c r="B4" s="4" t="s">
        <v>39</v>
      </c>
      <c r="C4" s="58" t="s">
        <v>40</v>
      </c>
      <c r="D4" s="44"/>
      <c r="E4" s="44"/>
      <c r="F4" s="44"/>
    </row>
    <row r="5" spans="1:6" x14ac:dyDescent="0.25">
      <c r="A5" s="3" t="s">
        <v>41</v>
      </c>
      <c r="B5" s="4" t="s">
        <v>42</v>
      </c>
      <c r="C5" s="58" t="s">
        <v>43</v>
      </c>
      <c r="D5" s="44"/>
      <c r="E5" s="44"/>
      <c r="F5" s="44"/>
    </row>
    <row r="6" spans="1:6" x14ac:dyDescent="0.25">
      <c r="A6" s="3" t="s">
        <v>44</v>
      </c>
      <c r="B6" s="4" t="s">
        <v>7</v>
      </c>
      <c r="C6" s="58" t="s">
        <v>45</v>
      </c>
      <c r="D6" s="44"/>
      <c r="E6" s="44"/>
      <c r="F6" s="44"/>
    </row>
    <row r="7" spans="1:6" x14ac:dyDescent="0.25">
      <c r="A7" s="3" t="s">
        <v>46</v>
      </c>
      <c r="B7" s="4" t="s">
        <v>6</v>
      </c>
      <c r="C7" s="58" t="s">
        <v>47</v>
      </c>
      <c r="D7" s="44"/>
      <c r="E7" s="44"/>
      <c r="F7" s="44"/>
    </row>
    <row r="8" spans="1:6" x14ac:dyDescent="0.25">
      <c r="A8" s="3" t="s">
        <v>48</v>
      </c>
      <c r="B8" s="4" t="s">
        <v>9</v>
      </c>
      <c r="C8" s="58" t="s">
        <v>49</v>
      </c>
      <c r="D8" s="44"/>
      <c r="E8" s="44"/>
      <c r="F8" s="44"/>
    </row>
    <row r="9" spans="1:6" x14ac:dyDescent="0.25">
      <c r="A9" s="3" t="s">
        <v>50</v>
      </c>
      <c r="B9" s="4" t="s">
        <v>51</v>
      </c>
      <c r="C9" s="58" t="s">
        <v>52</v>
      </c>
      <c r="D9" s="44"/>
      <c r="E9" s="44"/>
      <c r="F9" s="44"/>
    </row>
    <row r="10" spans="1:6" x14ac:dyDescent="0.25">
      <c r="A10" s="2"/>
      <c r="B10" s="2"/>
      <c r="C10" s="2"/>
      <c r="D10" s="2"/>
      <c r="E10" s="2"/>
      <c r="F10" s="2"/>
    </row>
    <row r="12" spans="1:6" ht="42" customHeight="1" x14ac:dyDescent="0.25">
      <c r="A12" s="38" t="s">
        <v>53</v>
      </c>
      <c r="B12" s="38" t="s">
        <v>54</v>
      </c>
      <c r="C12" s="39" t="s">
        <v>55</v>
      </c>
    </row>
    <row r="13" spans="1:6" ht="105" x14ac:dyDescent="0.25">
      <c r="A13" s="38"/>
      <c r="B13" s="38" t="s">
        <v>56</v>
      </c>
      <c r="C13" s="39" t="s">
        <v>57</v>
      </c>
    </row>
  </sheetData>
  <mergeCells count="8">
    <mergeCell ref="C9:F9"/>
    <mergeCell ref="C3:F3"/>
    <mergeCell ref="C8:F8"/>
    <mergeCell ref="C4:F4"/>
    <mergeCell ref="A1:F1"/>
    <mergeCell ref="C6:F6"/>
    <mergeCell ref="C7:F7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5</vt:i4>
      </vt:variant>
      <vt:variant>
        <vt:lpstr>Névvel ellátott tartományok</vt:lpstr>
      </vt:variant>
      <vt:variant>
        <vt:i4>1</vt:i4>
      </vt:variant>
    </vt:vector>
  </HeadingPairs>
  <TitlesOfParts>
    <vt:vector size="6" baseType="lpstr">
      <vt:lpstr>Tippmix napló</vt:lpstr>
      <vt:lpstr>Havi elemzés</vt:lpstr>
      <vt:lpstr>Heti elemzés</vt:lpstr>
      <vt:lpstr>Statisztika</vt:lpstr>
      <vt:lpstr>Használat</vt:lpstr>
      <vt:lpstr>'Heti elemzés'!Nyomtatási_cím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Veres, Gergo</cp:lastModifiedBy>
  <dcterms:created xsi:type="dcterms:W3CDTF">2026-09-04T10:29:59Z</dcterms:created>
  <dcterms:modified xsi:type="dcterms:W3CDTF">2026-10-26T11:43:28Z</dcterms:modified>
</cp:coreProperties>
</file>