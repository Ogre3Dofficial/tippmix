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Tippmix napló" state="visible" r:id="rId4"/>
    <sheet sheetId="5" name="Havi elemzés" state="visible" r:id="rId5"/>
    <sheet sheetId="2" name="Heti elemzés" state="visible" r:id="rId6"/>
    <sheet sheetId="3" name="Statisztika" state="visible" r:id="rId7"/>
    <sheet sheetId="4" name="Használat" state="visible" r:id="rId8"/>
  </sheets>
  <definedNames>
    <definedName name="_xlnm._FilterDatabase">'Heti elemzés'!$A$6:$J$59</definedName>
    <definedName name="_xlnm.Print_Titles" localSheetId="2">'Heti elemzés'!$1:$6</definedName>
  </definedNames>
  <calcPr calcId="171027" fullCalcOnLoad="1"/>
</workbook>
</file>

<file path=xl/sharedStrings.xml><?xml version="1.0" encoding="utf-8"?>
<sst xmlns="http://schemas.openxmlformats.org/spreadsheetml/2006/main" count="297" uniqueCount="67">
  <si>
    <t>♠  TIPPMIX BANKROLL MANAGER  ♠</t>
  </si>
  <si>
    <t>Fogadásnapló • bankroll • profit • heti / havi statisztika</t>
  </si>
  <si>
    <t>ÖSSZES PROFIT</t>
  </si>
  <si>
    <t>NYERÉSI %</t>
  </si>
  <si>
    <t>FOGADÁSOK</t>
  </si>
  <si>
    <t>Dátum</t>
  </si>
  <si>
    <t>Tét</t>
  </si>
  <si>
    <t>Odds</t>
  </si>
  <si>
    <t xml:space="preserve">Lehetséges
nyeremény</t>
  </si>
  <si>
    <t>Eredmény</t>
  </si>
  <si>
    <t>Nyeremény</t>
  </si>
  <si>
    <t>Profit</t>
  </si>
  <si>
    <t>Meccs / esemény</t>
  </si>
  <si>
    <t>Tipp / megjegyzés</t>
  </si>
  <si>
    <t>Nyert</t>
  </si>
  <si>
    <t/>
  </si>
  <si>
    <t>Veszített</t>
  </si>
  <si>
    <t>Függőben</t>
  </si>
  <si>
    <t>♠  TIPPMIX – HAVI ELEMZÉS</t>
  </si>
  <si>
    <t>KIVÁLASZTOTT ÉV ÖSSZESÍTÉSE</t>
  </si>
  <si>
    <t>Elemzett év:</t>
  </si>
  <si>
    <t>Évet átírva a havi sorok automatikusan frissülnek.</t>
  </si>
  <si>
    <t>Fogadások</t>
  </si>
  <si>
    <t>Éves profit</t>
  </si>
  <si>
    <t>Összes tét</t>
  </si>
  <si>
    <t>Hónap</t>
  </si>
  <si>
    <t>Hónap kezdete</t>
  </si>
  <si>
    <t>Hónap vége</t>
  </si>
  <si>
    <t>Nyerési %</t>
  </si>
  <si>
    <t>Havi profit (Ft)</t>
  </si>
  <si>
    <t>Összes tét (Ft)</t>
  </si>
  <si>
    <t>ROI</t>
  </si>
  <si>
    <t>♠  TIPPMIX – HETI ELEMZÉS</t>
  </si>
  <si>
    <t>Évet átírva a heti sorok automatikusan frissülnek.</t>
  </si>
  <si>
    <t>Hét</t>
  </si>
  <si>
    <t>Hét kezdete</t>
  </si>
  <si>
    <t>Hét vége</t>
  </si>
  <si>
    <t>Heti profit (Ft)</t>
  </si>
  <si>
    <t>♦  BANKROLL STATISZTIKA</t>
  </si>
  <si>
    <t>Összes profit</t>
  </si>
  <si>
    <t>Heti profit</t>
  </si>
  <si>
    <t>Havi profit</t>
  </si>
  <si>
    <t>Eddigi nyerési %</t>
  </si>
  <si>
    <t>Heti nyerési %</t>
  </si>
  <si>
    <t>Havi nyerési %</t>
  </si>
  <si>
    <t>♣  TIPPMIX KEZELŐ – HASZNÁLAT</t>
  </si>
  <si>
    <t>1.</t>
  </si>
  <si>
    <t>Írd be a fogadás dátumát.</t>
  </si>
  <si>
    <t>2.</t>
  </si>
  <si>
    <t>Pl. Arsenal – Chelsea.</t>
  </si>
  <si>
    <t>3.</t>
  </si>
  <si>
    <t>Tipp</t>
  </si>
  <si>
    <t>Pl. 1X, Over 2.5, Mindkét csapat szerez gólt.</t>
  </si>
  <si>
    <t>4.</t>
  </si>
  <si>
    <t>Add meg a szelvény oddsát.</t>
  </si>
  <si>
    <t>5.</t>
  </si>
  <si>
    <t>Add meg a feltett összeget forintban.</t>
  </si>
  <si>
    <t>6.</t>
  </si>
  <si>
    <t>A legördülőből válaszd: Nyert vagy Veszített.</t>
  </si>
  <si>
    <t>7.</t>
  </si>
  <si>
    <t>Nyeremény / Profit</t>
  </si>
  <si>
    <t>Automatikusan kiszámolódik.</t>
  </si>
  <si>
    <t>8.</t>
  </si>
  <si>
    <t>Heti elemzés</t>
  </si>
  <si>
    <t>A Heti elemzés lapon CW01–CW53 bontásban visszamenőleg is látható a heti nyerési %, profit, tétek és ROI. A B3 cellában módosítható az év.</t>
  </si>
  <si>
    <t>Havi elemzés</t>
  </si>
  <si>
    <t>A Havi elemzés lapon januártól decemberig visszamenőleg látható a havi nyerési %, profit, összes tét és ROI. A B3 cellában módosítható az év.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</si>
</sst>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#,##0 &quot;Ft&quot;"/>
    <numFmt numFmtId="166" formatCode="yyyy.mm.dd"/>
    <numFmt numFmtId="167" formatCode="dd.mm.yyyy"/>
    <numFmt numFmtId="168" formatCode="#,##0 &quot;Ft&quot;;[Red]-#,##0 &quot;Ft&quot;"/>
  </numFmts>
  <fonts count="24" x14ac:knownFonts="1">
    <font>
      <color theme="1"/>
      <family val="2"/>
      <scheme val="minor"/>
      <sz val="11"/>
      <name val="Calibri"/>
    </font>
    <font>
      <b/>
      <color rgb="FFF5C542"/>
      <family val="2"/>
      <sz val="22"/>
      <name val="Calibri"/>
    </font>
    <font>
      <i/>
      <color rgb="FF9AA4B2"/>
      <family val="2"/>
      <sz val="11"/>
      <name val="Calibri"/>
    </font>
    <font>
      <b/>
      <color rgb="FF9AA4B2"/>
      <family val="2"/>
      <sz val="10"/>
      <name val="Calibri"/>
    </font>
    <font>
      <b/>
      <color rgb="FFF5C542"/>
      <family val="2"/>
      <sz val="18"/>
      <name val="Calibri"/>
    </font>
    <font>
      <b/>
      <color theme="0" tint="-0.3499862666707358"/>
      <family val="2"/>
      <sz val="18"/>
      <name val="Calibri"/>
    </font>
    <font>
      <b/>
      <color rgb="FF19C37D"/>
      <family val="2"/>
      <sz val="18"/>
      <name val="Calibri"/>
    </font>
    <font>
      <b/>
      <color rgb="FF111318"/>
      <family val="2"/>
      <sz val="11"/>
      <name val="Calibri"/>
    </font>
    <font>
      <b/>
      <color rgb="FF111318"/>
      <family val="2"/>
      <sz val="14"/>
      <name val="Calibri"/>
    </font>
    <font>
      <color rgb="FFF4F6F8"/>
      <family val="2"/>
      <sz val="11"/>
      <name val="Calibri"/>
    </font>
    <font>
      <color rgb="FFF4F6F8"/>
      <family val="2"/>
      <sz val="14"/>
      <name val="Calibri"/>
    </font>
    <font>
      <b/>
      <color rgb="FF39FF14"/>
      <family val="2"/>
      <sz val="18"/>
      <name val="Aptos Display"/>
    </font>
    <font>
      <b/>
      <color rgb="FF39FF14"/>
      <family val="2"/>
      <sz val="12"/>
      <name val="Calibri"/>
    </font>
    <font>
      <b/>
      <color rgb="FFFFFFFF"/>
      <family val="2"/>
      <sz val="11"/>
      <name val="Calibri"/>
    </font>
    <font>
      <b/>
      <color rgb="FF172033"/>
      <family val="2"/>
      <sz val="11"/>
      <name val="Calibri"/>
    </font>
    <font>
      <i/>
      <color rgb="FF666666"/>
      <family val="2"/>
      <sz val="11"/>
      <name val="Calibri"/>
    </font>
    <font>
      <b/>
      <color rgb="FFF5C542"/>
      <family val="2"/>
      <sz val="20"/>
      <name val="Calibri"/>
    </font>
    <font>
      <b/>
      <color rgb="FFF4F6F8"/>
      <family val="2"/>
      <sz val="12"/>
      <name val="Calibri"/>
    </font>
    <font>
      <b/>
      <color rgb="FFF5C542"/>
      <family val="2"/>
      <sz val="15"/>
      <name val="Calibri"/>
    </font>
    <font>
      <b/>
      <color rgb="FF19C37D"/>
      <family val="2"/>
      <sz val="15"/>
      <name val="Calibri"/>
    </font>
    <font>
      <b/>
      <color rgb="FFF5C542"/>
      <family val="2"/>
      <sz val="11"/>
      <name val="Calibri"/>
    </font>
    <font>
      <b/>
      <color rgb="FFF4F6F8"/>
      <family val="2"/>
      <sz val="11"/>
      <name val="Calibri"/>
    </font>
    <font>
      <color rgb="FF9AA4B2"/>
      <family val="2"/>
      <sz val="11"/>
      <name val="Calibri"/>
    </font>
    <font>
      <b/>
      <family val="2"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rgb="FF111318"/>
      </patternFill>
    </fill>
    <fill>
      <patternFill patternType="solid">
        <fgColor rgb="FF1B1F27"/>
      </patternFill>
    </fill>
    <fill>
      <patternFill patternType="solid">
        <fgColor rgb="FFF5C542"/>
      </patternFill>
    </fill>
    <fill>
      <patternFill patternType="solid">
        <fgColor rgb="FF202631"/>
      </patternFill>
    </fill>
    <fill>
      <patternFill patternType="solid">
        <fgColor rgb="FF172033"/>
      </patternFill>
    </fill>
    <fill>
      <patternFill patternType="solid">
        <fgColor rgb="FF263449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F4F7FB"/>
      </patternFill>
    </fill>
  </fills>
  <borders count="10">
    <border>
      <left/>
      <right/>
      <top/>
      <bottom/>
      <diagonal/>
    </border>
    <border>
      <left/>
      <right/>
      <top/>
      <bottom style="thin">
        <color rgb="FF343B48"/>
      </bottom>
      <diagonal/>
    </border>
    <border>
      <left style="thin">
        <color rgb="FF343B48"/>
      </left>
      <right style="thin">
        <color rgb="FF343B48"/>
      </right>
      <top style="thin">
        <color rgb="FF343B48"/>
      </top>
      <bottom style="thin">
        <color rgb="FF343B48"/>
      </bottom>
      <diagonal/>
    </border>
    <border>
      <left/>
      <right style="thin">
        <color rgb="FF343B48"/>
      </right>
      <top style="thin">
        <color rgb="FF343B48"/>
      </top>
      <bottom style="thin">
        <color rgb="FF343B48"/>
      </bottom>
      <diagonal/>
    </border>
    <border>
      <left/>
      <right/>
      <top style="thin">
        <color rgb="FF343B48"/>
      </top>
      <bottom style="thin">
        <color rgb="FF343B48"/>
      </bottom>
      <diagonal/>
    </border>
    <border>
      <left/>
      <right/>
      <top style="thin">
        <color rgb="FF343B48"/>
      </top>
      <bottom/>
      <diagonal/>
    </border>
    <border>
      <left/>
      <right/>
      <top/>
      <bottom style="hair">
        <color rgb="FF343B48"/>
      </bottom>
      <diagonal/>
    </border>
    <border>
      <left/>
      <right/>
      <top style="thin">
        <color theme="4" tint="0.3999755851924192"/>
      </top>
      <bottom style="hair">
        <color rgb="FF343B48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medium">
        <color rgb="FF39FF1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3" fillId="4" borderId="2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164" fontId="0" fillId="0" borderId="0" xfId="0" applyNumberFormat="1"/>
    <xf numFmtId="165" fontId="4" fillId="2" borderId="5" xfId="0" applyNumberFormat="1" applyFont="1" applyFill="1" applyBorder="1" applyAlignment="1">
      <alignment horizontal="center"/>
    </xf>
    <xf numFmtId="0" fontId="0" fillId="0" borderId="5" xfId="0" applyBorder="1"/>
    <xf numFmtId="165" fontId="5" fillId="2" borderId="5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166" fontId="9" fillId="6" borderId="6" xfId="0" applyNumberFormat="1" applyFont="1" applyFill="1" applyBorder="1" applyAlignment="1">
      <alignment horizontal="center" vertical="center"/>
    </xf>
    <xf numFmtId="165" fontId="9" fillId="6" borderId="6" xfId="0" applyNumberFormat="1" applyFont="1" applyFill="1" applyBorder="1" applyAlignment="1">
      <alignment horizontal="center" vertical="center"/>
    </xf>
    <xf numFmtId="2" fontId="9" fillId="6" borderId="7" xfId="0" applyNumberFormat="1" applyFont="1" applyFill="1" applyBorder="1" applyAlignment="1">
      <alignment horizontal="center" vertical="center"/>
    </xf>
    <xf numFmtId="165" fontId="9" fillId="3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165" fontId="10" fillId="3" borderId="6" xfId="0" applyNumberFormat="1" applyFont="1" applyFill="1" applyBorder="1" applyAlignment="1">
      <alignment horizontal="center" vertical="center"/>
    </xf>
    <xf numFmtId="165" fontId="9" fillId="4" borderId="6" xfId="0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12" fillId="7" borderId="0" xfId="0" applyFont="1" applyFill="1"/>
    <xf numFmtId="0" fontId="13" fillId="8" borderId="0" xfId="0" applyFont="1" applyFill="1"/>
    <xf numFmtId="0" fontId="14" fillId="9" borderId="0" xfId="0" applyFont="1" applyFill="1" applyAlignment="1">
      <alignment horizontal="center"/>
    </xf>
    <xf numFmtId="0" fontId="15" fillId="0" borderId="0" xfId="0" applyFont="1"/>
    <xf numFmtId="0" fontId="13" fillId="8" borderId="8" xfId="0" applyFont="1" applyFill="1" applyBorder="1"/>
    <xf numFmtId="0" fontId="0" fillId="10" borderId="8" xfId="0" applyFill="1" applyBorder="1"/>
    <xf numFmtId="165" fontId="0" fillId="10" borderId="8" xfId="0" applyNumberFormat="1" applyFill="1" applyBorder="1"/>
    <xf numFmtId="0" fontId="13" fillId="7" borderId="9" xfId="0" applyFont="1" applyFill="1" applyBorder="1" applyAlignment="1">
      <alignment horizontal="center" vertical="center" wrapText="1"/>
    </xf>
    <xf numFmtId="164" fontId="0" fillId="10" borderId="8" xfId="0" applyNumberFormat="1" applyFill="1" applyBorder="1"/>
    <xf numFmtId="0" fontId="0" fillId="0" borderId="8" xfId="0" applyBorder="1" applyAlignment="1">
      <alignment horizontal="center"/>
    </xf>
    <xf numFmtId="167" fontId="0" fillId="0" borderId="8" xfId="0" applyNumberFormat="1" applyBorder="1" applyAlignment="1">
      <alignment horizontal="right"/>
    </xf>
    <xf numFmtId="164" fontId="0" fillId="0" borderId="8" xfId="0" applyNumberFormat="1" applyBorder="1" applyAlignment="1">
      <alignment horizontal="center"/>
    </xf>
    <xf numFmtId="165" fontId="0" fillId="0" borderId="8" xfId="0" applyNumberFormat="1" applyBorder="1" applyAlignment="1">
      <alignment horizontal="right"/>
    </xf>
    <xf numFmtId="0" fontId="0" fillId="11" borderId="8" xfId="0" applyFill="1" applyBorder="1" applyAlignment="1">
      <alignment horizontal="center"/>
    </xf>
    <xf numFmtId="167" fontId="0" fillId="11" borderId="8" xfId="0" applyNumberFormat="1" applyFill="1" applyBorder="1" applyAlignment="1">
      <alignment horizontal="right"/>
    </xf>
    <xf numFmtId="164" fontId="0" fillId="11" borderId="8" xfId="0" applyNumberFormat="1" applyFill="1" applyBorder="1" applyAlignment="1">
      <alignment horizontal="center"/>
    </xf>
    <xf numFmtId="165" fontId="0" fillId="11" borderId="8" xfId="0" applyNumberFormat="1" applyFill="1" applyBorder="1" applyAlignment="1">
      <alignment horizontal="right"/>
    </xf>
    <xf numFmtId="166" fontId="0" fillId="0" borderId="8" xfId="0" applyNumberFormat="1" applyBorder="1" applyAlignment="1">
      <alignment horizontal="right"/>
    </xf>
    <xf numFmtId="168" fontId="0" fillId="0" borderId="8" xfId="0" applyNumberFormat="1" applyBorder="1" applyAlignment="1">
      <alignment horizontal="right"/>
    </xf>
    <xf numFmtId="168" fontId="0" fillId="10" borderId="8" xfId="0" applyNumberFormat="1" applyFill="1" applyBorder="1"/>
    <xf numFmtId="166" fontId="0" fillId="11" borderId="8" xfId="0" applyNumberFormat="1" applyFill="1" applyBorder="1" applyAlignment="1">
      <alignment horizontal="right"/>
    </xf>
    <xf numFmtId="168" fontId="0" fillId="11" borderId="8" xfId="0" applyNumberFormat="1" applyFill="1" applyBorder="1" applyAlignment="1">
      <alignment horizontal="right"/>
    </xf>
    <xf numFmtId="0" fontId="16" fillId="3" borderId="0" xfId="0" applyFont="1" applyFill="1" applyAlignment="1">
      <alignment horizontal="center"/>
    </xf>
    <xf numFmtId="0" fontId="0" fillId="3" borderId="0" xfId="0" applyFill="1"/>
    <xf numFmtId="0" fontId="17" fillId="4" borderId="2" xfId="0" applyFont="1" applyFill="1" applyBorder="1"/>
    <xf numFmtId="165" fontId="18" fillId="4" borderId="2" xfId="0" applyNumberFormat="1" applyFont="1" applyFill="1" applyBorder="1"/>
    <xf numFmtId="164" fontId="19" fillId="4" borderId="2" xfId="0" applyNumberFormat="1" applyFont="1" applyFill="1" applyBorder="1"/>
    <xf numFmtId="0" fontId="20" fillId="3" borderId="0" xfId="0" applyFont="1" applyFill="1"/>
    <xf numFmtId="0" fontId="21" fillId="3" borderId="0" xfId="0" applyFont="1" applyFill="1"/>
    <xf numFmtId="0" fontId="22" fillId="3" borderId="0" xfId="0" applyFont="1" applyFill="1"/>
    <xf numFmtId="0" fontId="2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6">
    <dxf>
      <font>
        <b/>
        <color rgb="FF19C37D"/>
      </font>
      <fill>
        <patternFill patternType="solid">
          <fgColor rgb="FF164C39"/>
        </patternFill>
      </fill>
    </dxf>
    <dxf>
      <font>
        <b/>
        <color rgb="FFFF4D5A"/>
      </font>
      <fill>
        <patternFill patternType="solid">
          <fgColor rgb="FF5A2028"/>
        </patternFill>
      </fill>
    </dxf>
    <dxf>
      <font>
        <b/>
        <color rgb="FF19C37D"/>
      </font>
      <fill>
        <patternFill patternType="solid">
          <fgColor rgb="FF164C39"/>
        </patternFill>
      </fill>
    </dxf>
    <dxf>
      <font>
        <b/>
        <color rgb="FFFF4D5A"/>
      </font>
      <fill>
        <patternFill patternType="solid">
          <fgColor rgb="FF5A2028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ippmixNaplo" displayName="TippmixNaplo" ref="C6:I133" totalsRowShown="1" headerRowCount="0">
  <autoFilter ref="C6:I1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Dátum"/>
    <tableColumn id="2" name="Tét"/>
    <tableColumn id="3" name="Odds"/>
    <tableColumn id="4" name="Lehetséges_x000a_nyeremény"/>
    <tableColumn id="5" name="Eredmény"/>
    <tableColumn id="6" name="Nyeremény"/>
    <tableColumn id="7" name="Profi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33"/>
  <sheetViews>
    <sheetView workbookViewId="0" showGridLines="0" zoomScale="100" zoomScaleNormal="100">
      <pane ySplit="6" topLeftCell="A59" activePane="bottomLeft" state="frozen"/>
      <selection pane="bottomLeft" activeCell="G74" sqref="G74"/>
    </sheetView>
  </sheetViews>
  <sheetFormatPr defaultRowHeight="15" outlineLevelRow="0" outlineLevelCol="0" x14ac:dyDescent="0.25"/>
  <cols>
    <col min="1" max="1" width="60.85546875" customWidth="1"/>
    <col min="2" max="2" width="9.140625" customWidth="1"/>
    <col min="3" max="3" width="11.42578125" customWidth="1"/>
    <col min="4" max="4" width="14.140625" customWidth="1"/>
    <col min="5" max="5" width="10.140625" customWidth="1"/>
    <col min="6" max="6" width="15.7109375" customWidth="1"/>
    <col min="7" max="7" width="14.5703125" customWidth="1"/>
    <col min="8" max="8" width="16" customWidth="1"/>
    <col min="9" max="9" width="17.140625" customWidth="1"/>
    <col min="10" max="10" width="36.140625" hidden="1" customWidth="1"/>
    <col min="11" max="11" width="96.140625" hidden="1" customWidth="1"/>
    <col min="12" max="12" width="159.140625" customWidth="1"/>
    <col min="13" max="13" width="9.140625" customWidth="1"/>
  </cols>
  <sheetData>
    <row r="1" ht="38.1" customHeight="1" spans="1:12" x14ac:dyDescent="0.25">
      <c r="A1" s="1"/>
      <c r="B1" s="1"/>
      <c r="C1" s="2" t="s">
        <v>0</v>
      </c>
      <c r="D1"/>
      <c r="E1"/>
      <c r="F1"/>
      <c r="G1"/>
      <c r="H1"/>
      <c r="I1"/>
      <c r="J1"/>
      <c r="K1"/>
      <c r="L1" s="1"/>
    </row>
    <row r="2" ht="24" customHeight="1" spans="1:12" x14ac:dyDescent="0.25">
      <c r="A2" s="1"/>
      <c r="B2" s="1"/>
      <c r="C2" s="3" t="s">
        <v>1</v>
      </c>
      <c r="D2" s="4"/>
      <c r="E2" s="4"/>
      <c r="F2" s="4"/>
      <c r="G2" s="4"/>
      <c r="H2" s="4"/>
      <c r="I2" s="4"/>
      <c r="J2" s="4"/>
      <c r="K2" s="4"/>
      <c r="L2" s="1"/>
    </row>
    <row r="3" ht="21" customHeight="1" spans="1:18" x14ac:dyDescent="0.25">
      <c r="A3" s="1"/>
      <c r="B3" s="1"/>
      <c r="C3" s="5" t="s">
        <v>2</v>
      </c>
      <c r="D3" s="6"/>
      <c r="E3" s="5"/>
      <c r="F3" s="6"/>
      <c r="G3" s="5" t="s">
        <v>3</v>
      </c>
      <c r="H3" s="6"/>
      <c r="I3" s="5" t="s">
        <v>4</v>
      </c>
      <c r="J3" s="7"/>
      <c r="K3" s="6"/>
      <c r="L3" s="1"/>
      <c r="R3" s="8"/>
    </row>
    <row r="4" ht="23.25" customHeight="1" spans="1:18" x14ac:dyDescent="0.25">
      <c r="A4" s="1"/>
      <c r="B4" s="1"/>
      <c r="C4" s="9">
        <f>SUM(I7:I133)</f>
        <v>21180</v>
      </c>
      <c r="D4" s="10"/>
      <c r="E4" s="11"/>
      <c r="F4" s="10"/>
      <c r="G4" s="12">
        <f>IFERROR(COUNTIF(G7:G133,"Nyert")/(COUNTIF(G7:G133,"Nyert")+COUNTIF(G7:G133,"Veszített")),0)</f>
        <v>0.6060606060606061</v>
      </c>
      <c r="H4" s="10"/>
      <c r="I4" s="13">
        <f>COUNTIF(G7:G133,"&lt;&gt;")</f>
        <v>66</v>
      </c>
      <c r="J4" s="10"/>
      <c r="K4" s="10"/>
      <c r="L4" s="1"/>
      <c r="R4" s="8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41.25" customHeight="1" spans="1:12" x14ac:dyDescent="0.25">
      <c r="A6" s="1"/>
      <c r="B6" s="1"/>
      <c r="C6" s="14" t="s">
        <v>5</v>
      </c>
      <c r="D6" s="14" t="s">
        <v>6</v>
      </c>
      <c r="E6" s="14" t="s">
        <v>7</v>
      </c>
      <c r="F6" s="15" t="s">
        <v>8</v>
      </c>
      <c r="G6" s="14" t="s">
        <v>9</v>
      </c>
      <c r="H6" s="14" t="s">
        <v>10</v>
      </c>
      <c r="I6" s="16" t="s">
        <v>11</v>
      </c>
      <c r="J6" t="s">
        <v>12</v>
      </c>
      <c r="K6" t="s">
        <v>13</v>
      </c>
      <c r="L6" s="1"/>
    </row>
    <row r="7" ht="18.75" customHeight="1" spans="1:12" x14ac:dyDescent="0.25">
      <c r="A7" s="1"/>
      <c r="B7" s="1"/>
      <c r="C7" s="17">
        <v>46262.5</v>
      </c>
      <c r="D7" s="18">
        <v>1000</v>
      </c>
      <c r="E7" s="19">
        <v>2.74</v>
      </c>
      <c r="F7" s="20">
        <f>IF(OR(E7="",D7=""),"",E7*D7)</f>
      </c>
      <c r="G7" s="21" t="s">
        <v>14</v>
      </c>
      <c r="H7" s="20">
        <f>IF(G7="Nyert",F7,0)</f>
      </c>
      <c r="I7" s="22">
        <f>IF(G7="Nyert",H7-D7,IF(G7="Veszített",-D7,0))</f>
      </c>
      <c r="J7" t="s">
        <v>15</v>
      </c>
      <c r="K7" t="s">
        <v>15</v>
      </c>
      <c r="L7" s="1"/>
    </row>
    <row r="8" ht="18.75" customHeight="1" spans="1:12" x14ac:dyDescent="0.25">
      <c r="A8" s="1"/>
      <c r="B8" s="1"/>
      <c r="C8" s="17">
        <v>46263.5</v>
      </c>
      <c r="D8" s="18">
        <v>1000</v>
      </c>
      <c r="E8" s="19">
        <v>2.25</v>
      </c>
      <c r="F8" s="23">
        <f>IF(OR(E8="",D8=""),"",E8*D8)</f>
      </c>
      <c r="G8" s="21" t="s">
        <v>16</v>
      </c>
      <c r="H8" s="23">
        <f>IF(G8="Nyert",F8,0)</f>
      </c>
      <c r="I8" s="22">
        <f>IF(G8="Nyert",H8-D8,IF(G8="Veszített",-D8,0))</f>
      </c>
      <c r="J8" t="s">
        <v>15</v>
      </c>
      <c r="K8" t="s">
        <v>15</v>
      </c>
      <c r="L8" s="1"/>
    </row>
    <row r="9" ht="18.75" customHeight="1" spans="1:12" x14ac:dyDescent="0.25">
      <c r="A9" s="1"/>
      <c r="B9" s="1"/>
      <c r="C9" s="17">
        <v>46264.5</v>
      </c>
      <c r="D9" s="18">
        <v>1000</v>
      </c>
      <c r="E9" s="19">
        <v>2.47</v>
      </c>
      <c r="F9" s="20">
        <f>IF(OR(E9="",D9=""),"",E9*D9)</f>
      </c>
      <c r="G9" s="21" t="s">
        <v>14</v>
      </c>
      <c r="H9" s="20">
        <f>IF(G9="Nyert",F9,0)</f>
      </c>
      <c r="I9" s="22">
        <f>IF(G9="Nyert",H9-D9,IF(G9="Veszített",-D9,0))</f>
      </c>
      <c r="J9" t="s">
        <v>15</v>
      </c>
      <c r="K9" t="s">
        <v>15</v>
      </c>
      <c r="L9" s="1"/>
    </row>
    <row r="10" ht="18.75" customHeight="1" spans="1:12" x14ac:dyDescent="0.25">
      <c r="A10" s="1"/>
      <c r="B10" s="1"/>
      <c r="C10" s="17">
        <v>46265.5</v>
      </c>
      <c r="D10" s="18">
        <v>1000</v>
      </c>
      <c r="E10" s="19">
        <v>1.95</v>
      </c>
      <c r="F10" s="23">
        <f>IF(OR(E10="",D10=""),"",E10*D10)</f>
      </c>
      <c r="G10" s="21" t="s">
        <v>14</v>
      </c>
      <c r="H10" s="23">
        <f>IF(G10="Nyert",F10,0)</f>
      </c>
      <c r="I10" s="22">
        <f>IF(G10="Nyert",H10-D10,IF(G10="Veszített",-D10,0))</f>
      </c>
      <c r="J10" t="s">
        <v>15</v>
      </c>
      <c r="K10" t="s">
        <v>15</v>
      </c>
      <c r="L10" s="1"/>
    </row>
    <row r="11" ht="18.75" customHeight="1" spans="1:12" x14ac:dyDescent="0.25">
      <c r="A11" s="1"/>
      <c r="B11" s="1"/>
      <c r="C11" s="17">
        <v>46266.5</v>
      </c>
      <c r="D11" s="18">
        <v>1000</v>
      </c>
      <c r="E11" s="19">
        <v>4.06</v>
      </c>
      <c r="F11" s="20">
        <f>IF(OR(E11="",D11=""),"",E11*D11)</f>
      </c>
      <c r="G11" s="21" t="s">
        <v>16</v>
      </c>
      <c r="H11" s="20">
        <f>IF(G11="Nyert",F11,0)</f>
      </c>
      <c r="I11" s="22">
        <f>IF(G11="Nyert",H11-D11,IF(G11="Veszített",-D11,0))</f>
      </c>
      <c r="J11" t="s">
        <v>15</v>
      </c>
      <c r="K11" t="s">
        <v>15</v>
      </c>
      <c r="L11" s="1"/>
    </row>
    <row r="12" ht="18.75" customHeight="1" spans="1:12" x14ac:dyDescent="0.25">
      <c r="A12" s="1"/>
      <c r="B12" s="1"/>
      <c r="C12" s="17">
        <v>46267.5</v>
      </c>
      <c r="D12" s="18">
        <v>1000</v>
      </c>
      <c r="E12" s="19">
        <v>2.56</v>
      </c>
      <c r="F12" s="23">
        <f>IF(OR(E12="",D12=""),"",E12*D12)</f>
      </c>
      <c r="G12" s="21" t="s">
        <v>14</v>
      </c>
      <c r="H12" s="23">
        <f>IF(G12="Nyert",F12,0)</f>
      </c>
      <c r="I12" s="22">
        <f>IF(G12="Nyert",H12-D12,IF(G12="Veszített",-D12,0))</f>
      </c>
      <c r="J12" t="s">
        <v>15</v>
      </c>
      <c r="K12" t="s">
        <v>15</v>
      </c>
      <c r="L12" s="1"/>
    </row>
    <row r="13" ht="18.75" customHeight="1" spans="1:12" x14ac:dyDescent="0.25">
      <c r="A13" s="1"/>
      <c r="B13" s="1"/>
      <c r="C13" s="17">
        <v>46268.5</v>
      </c>
      <c r="D13" s="18">
        <v>1000</v>
      </c>
      <c r="E13" s="19">
        <v>2.62</v>
      </c>
      <c r="F13" s="20">
        <f>IF(OR(E13="",D13=""),"",E13*D13)</f>
      </c>
      <c r="G13" s="21" t="s">
        <v>14</v>
      </c>
      <c r="H13" s="20">
        <f>IF(G13="Nyert",F13,0)</f>
      </c>
      <c r="I13" s="22">
        <f>IF(G13="Nyert",H13-D13,IF(G13="Veszített",-D13,0))</f>
      </c>
      <c r="J13" t="s">
        <v>15</v>
      </c>
      <c r="K13" t="s">
        <v>15</v>
      </c>
      <c r="L13" s="1"/>
    </row>
    <row r="14" ht="18.75" customHeight="1" spans="1:12" x14ac:dyDescent="0.25">
      <c r="A14" s="1"/>
      <c r="B14" s="1"/>
      <c r="C14" s="17">
        <v>46269.5</v>
      </c>
      <c r="D14" s="18">
        <v>1000</v>
      </c>
      <c r="E14" s="19">
        <v>1.47</v>
      </c>
      <c r="F14" s="23">
        <f>IF(OR(E14="",D14=""),"",E14*D14)</f>
      </c>
      <c r="G14" s="21" t="s">
        <v>16</v>
      </c>
      <c r="H14" s="23">
        <f>IF(G14="Nyert",F14,0)</f>
      </c>
      <c r="I14" s="22">
        <f>IF(G14="Nyert",H14-D14,IF(G14="Veszített",-D14,0))</f>
      </c>
      <c r="J14" t="s">
        <v>15</v>
      </c>
      <c r="K14" t="s">
        <v>15</v>
      </c>
      <c r="L14" s="1"/>
    </row>
    <row r="15" ht="18.75" customHeight="1" spans="1:12" x14ac:dyDescent="0.25">
      <c r="A15" s="1"/>
      <c r="B15" s="1"/>
      <c r="C15" s="17">
        <v>46270.5</v>
      </c>
      <c r="D15" s="18">
        <v>1000</v>
      </c>
      <c r="E15" s="19">
        <v>1.98</v>
      </c>
      <c r="F15" s="20">
        <f>IF(OR(E15="",D15=""),"",E15*D15)</f>
      </c>
      <c r="G15" s="21" t="s">
        <v>14</v>
      </c>
      <c r="H15" s="20">
        <f>IF(G15="Nyert",F15,0)</f>
      </c>
      <c r="I15" s="22">
        <f>IF(G15="Nyert",H15-D15,IF(G15="Veszített",-D15,0))</f>
      </c>
      <c r="J15" t="s">
        <v>15</v>
      </c>
      <c r="K15" t="s">
        <v>15</v>
      </c>
      <c r="L15" s="1"/>
    </row>
    <row r="16" ht="18.75" customHeight="1" spans="1:12" x14ac:dyDescent="0.25">
      <c r="A16" s="1"/>
      <c r="B16" s="1"/>
      <c r="C16" s="17">
        <v>46271.5</v>
      </c>
      <c r="D16" s="18">
        <v>1000</v>
      </c>
      <c r="E16" s="19">
        <v>1.65</v>
      </c>
      <c r="F16" s="23">
        <f>IF(OR(E16="",D16=""),"",E16*D16)</f>
      </c>
      <c r="G16" s="21" t="s">
        <v>14</v>
      </c>
      <c r="H16" s="23">
        <f>IF(G16="Nyert",F16,0)</f>
      </c>
      <c r="I16" s="22">
        <f>IF(G16="Nyert",H16-D16,IF(G16="Veszített",-D16,0))</f>
      </c>
      <c r="J16" t="s">
        <v>15</v>
      </c>
      <c r="K16" t="s">
        <v>15</v>
      </c>
      <c r="L16" s="1"/>
    </row>
    <row r="17" ht="18.75" customHeight="1" spans="1:12" x14ac:dyDescent="0.25">
      <c r="A17" s="1"/>
      <c r="B17" s="1"/>
      <c r="C17" s="17">
        <v>46272.5</v>
      </c>
      <c r="D17" s="18">
        <v>1000</v>
      </c>
      <c r="E17" s="19">
        <v>2.03</v>
      </c>
      <c r="F17" s="20">
        <f>IF(OR(E17="",D17=""),"",E17*D17)</f>
      </c>
      <c r="G17" s="21" t="s">
        <v>14</v>
      </c>
      <c r="H17" s="20">
        <f>IF(G17="Nyert",F17,0)</f>
      </c>
      <c r="I17" s="22">
        <f>IF(G17="Nyert",H17-D17,IF(G17="Veszített",-D17,0))</f>
      </c>
      <c r="J17" t="s">
        <v>15</v>
      </c>
      <c r="K17" t="s">
        <v>15</v>
      </c>
      <c r="L17" s="1"/>
    </row>
    <row r="18" ht="18.75" customHeight="1" spans="1:12" x14ac:dyDescent="0.25">
      <c r="A18" s="1"/>
      <c r="B18" s="1"/>
      <c r="C18" s="17">
        <v>46273.5</v>
      </c>
      <c r="D18" s="18">
        <v>1000</v>
      </c>
      <c r="E18" s="19">
        <v>1.74</v>
      </c>
      <c r="F18" s="23">
        <f>IF(OR(E18="",D18=""),"",E18*D18)</f>
      </c>
      <c r="G18" s="21" t="s">
        <v>14</v>
      </c>
      <c r="H18" s="23">
        <f>IF(G18="Nyert",F18,0)</f>
      </c>
      <c r="I18" s="22">
        <f>IF(G18="Nyert",H18-D18,IF(G18="Veszített",-D18,0))</f>
      </c>
      <c r="J18" t="s">
        <v>15</v>
      </c>
      <c r="K18" t="s">
        <v>15</v>
      </c>
      <c r="L18" s="1"/>
    </row>
    <row r="19" ht="18.75" customHeight="1" spans="1:12" x14ac:dyDescent="0.25">
      <c r="A19" s="1"/>
      <c r="B19" s="1"/>
      <c r="C19" s="17">
        <v>46274.5</v>
      </c>
      <c r="D19" s="18">
        <v>1000</v>
      </c>
      <c r="E19" s="19">
        <v>1.39</v>
      </c>
      <c r="F19" s="20">
        <f>IF(OR(E19="",D19=""),"",E19*D19)</f>
      </c>
      <c r="G19" s="21" t="s">
        <v>14</v>
      </c>
      <c r="H19" s="20">
        <f>IF(G19="Nyert",F19,0)</f>
      </c>
      <c r="I19" s="22">
        <f>IF(G19="Nyert",H19-D19,IF(G19="Veszített",-D19,0))</f>
      </c>
      <c r="J19" t="s">
        <v>15</v>
      </c>
      <c r="K19" t="s">
        <v>15</v>
      </c>
      <c r="L19" s="1"/>
    </row>
    <row r="20" ht="18.75" customHeight="1" spans="1:12" x14ac:dyDescent="0.25">
      <c r="A20" s="1"/>
      <c r="B20" s="1"/>
      <c r="C20" s="17">
        <v>46274.5</v>
      </c>
      <c r="D20" s="18">
        <v>1000</v>
      </c>
      <c r="E20" s="19">
        <v>2.97</v>
      </c>
      <c r="F20" s="23">
        <f>IF(OR(E20="",D20=""),"",E20*D20)</f>
      </c>
      <c r="G20" s="21" t="s">
        <v>14</v>
      </c>
      <c r="H20" s="23">
        <f>IF(G20="Nyert",F20,0)</f>
      </c>
      <c r="I20" s="22">
        <f>IF(G20="Nyert",H20-D20,IF(G20="Veszített",-D20,0))</f>
      </c>
      <c r="J20" t="s">
        <v>15</v>
      </c>
      <c r="K20" t="s">
        <v>15</v>
      </c>
      <c r="L20" s="1"/>
    </row>
    <row r="21" ht="18.75" customHeight="1" spans="1:12" x14ac:dyDescent="0.25">
      <c r="A21" s="1"/>
      <c r="B21" s="1"/>
      <c r="C21" s="17">
        <v>46275.5</v>
      </c>
      <c r="D21" s="18">
        <v>1000</v>
      </c>
      <c r="E21" s="19">
        <v>2.84</v>
      </c>
      <c r="F21" s="20">
        <f>IF(OR(E21="",D21=""),"",E21*D21)</f>
      </c>
      <c r="G21" s="21" t="s">
        <v>16</v>
      </c>
      <c r="H21" s="20">
        <f>IF(G21="Nyert",F21,0)</f>
      </c>
      <c r="I21" s="22">
        <f>IF(G21="Nyert",H21-D21,IF(G21="Veszített",-D21,0))</f>
      </c>
      <c r="J21" t="s">
        <v>15</v>
      </c>
      <c r="K21" t="s">
        <v>15</v>
      </c>
      <c r="L21" s="1"/>
    </row>
    <row r="22" ht="18.75" customHeight="1" spans="1:12" x14ac:dyDescent="0.25">
      <c r="A22" s="1"/>
      <c r="B22" s="1"/>
      <c r="C22" s="17">
        <v>46276.5</v>
      </c>
      <c r="D22" s="18">
        <v>1000</v>
      </c>
      <c r="E22" s="19">
        <v>2.04</v>
      </c>
      <c r="F22" s="23">
        <f>IF(OR(E22="",D22=""),"",E22*D22)</f>
      </c>
      <c r="G22" s="21" t="s">
        <v>14</v>
      </c>
      <c r="H22" s="23">
        <f>IF(G22="Nyert",F22,0)</f>
      </c>
      <c r="I22" s="22">
        <f>IF(G22="Nyert",H22-D22,IF(G22="Veszített",-D22,0))</f>
      </c>
      <c r="J22" t="s">
        <v>15</v>
      </c>
      <c r="K22" t="s">
        <v>15</v>
      </c>
      <c r="L22" s="1"/>
    </row>
    <row r="23" ht="18.75" customHeight="1" spans="1:12" x14ac:dyDescent="0.25">
      <c r="A23" s="1"/>
      <c r="B23" s="1"/>
      <c r="C23" s="17">
        <v>46276.5</v>
      </c>
      <c r="D23" s="18">
        <v>1000</v>
      </c>
      <c r="E23" s="19">
        <v>1.99</v>
      </c>
      <c r="F23" s="20">
        <f>IF(OR(E23="",D23=""),"",E23*D23)</f>
      </c>
      <c r="G23" s="21" t="s">
        <v>16</v>
      </c>
      <c r="H23" s="20">
        <f>IF(G23="Nyert",F23,0)</f>
      </c>
      <c r="I23" s="22">
        <f>IF(G23="Nyert",H23-D23,IF(G23="Veszített",-D23,0))</f>
      </c>
      <c r="J23" t="s">
        <v>15</v>
      </c>
      <c r="K23" t="s">
        <v>15</v>
      </c>
      <c r="L23" s="1"/>
    </row>
    <row r="24" ht="18.75" customHeight="1" spans="1:12" x14ac:dyDescent="0.25">
      <c r="A24" s="1"/>
      <c r="B24" s="1"/>
      <c r="C24" s="17">
        <v>46277.5</v>
      </c>
      <c r="D24" s="18">
        <v>1000</v>
      </c>
      <c r="E24" s="19">
        <v>2.16</v>
      </c>
      <c r="F24" s="20">
        <f>IF(OR(E24="",D24=""),"",E24*D24)</f>
      </c>
      <c r="G24" s="21" t="s">
        <v>16</v>
      </c>
      <c r="H24" s="23">
        <f>IF(G24="Nyert",F24,0)</f>
      </c>
      <c r="I24" s="22">
        <f>IF(G24="Nyert",H24-D24,IF(G24="Veszített",-D24,0))</f>
      </c>
      <c r="J24" t="s">
        <v>15</v>
      </c>
      <c r="K24" t="s">
        <v>15</v>
      </c>
      <c r="L24" s="1"/>
    </row>
    <row r="25" ht="18.75" customHeight="1" spans="1:12" x14ac:dyDescent="0.25">
      <c r="A25" s="1"/>
      <c r="B25" s="1"/>
      <c r="C25" s="17">
        <v>46278.5</v>
      </c>
      <c r="D25" s="18">
        <v>1000</v>
      </c>
      <c r="E25" s="19">
        <v>1.71</v>
      </c>
      <c r="F25" s="20">
        <f>IF(OR(E25="",D25=""),"",E25*D25)</f>
      </c>
      <c r="G25" s="21" t="s">
        <v>14</v>
      </c>
      <c r="H25" s="20">
        <f>IF(G25="Nyert",F25,0)</f>
      </c>
      <c r="I25" s="22">
        <f>IF(G25="Nyert",H25-D25,IF(G25="Veszített",-D25,0))</f>
      </c>
      <c r="J25" t="s">
        <v>15</v>
      </c>
      <c r="K25" t="s">
        <v>15</v>
      </c>
      <c r="L25" s="1"/>
    </row>
    <row r="26" ht="18.75" customHeight="1" spans="1:12" x14ac:dyDescent="0.25">
      <c r="A26" s="1"/>
      <c r="B26" s="1"/>
      <c r="C26" s="17">
        <v>46278.5</v>
      </c>
      <c r="D26" s="18">
        <v>1000</v>
      </c>
      <c r="E26" s="19">
        <v>1.6</v>
      </c>
      <c r="F26" s="23">
        <f>IF(OR(E26="",D26=""),"",E26*D26)</f>
      </c>
      <c r="G26" s="21" t="s">
        <v>14</v>
      </c>
      <c r="H26" s="23">
        <f>IF(G26="Nyert",F26,0)</f>
      </c>
      <c r="I26" s="22">
        <f>IF(G26="Nyert",H26-D26,IF(G26="Veszített",-D26,0))</f>
      </c>
      <c r="J26" t="s">
        <v>15</v>
      </c>
      <c r="K26" t="s">
        <v>15</v>
      </c>
      <c r="L26" s="1"/>
    </row>
    <row r="27" ht="18.75" customHeight="1" spans="1:12" x14ac:dyDescent="0.25">
      <c r="A27" s="1"/>
      <c r="B27" s="1"/>
      <c r="C27" s="17">
        <v>46279.5</v>
      </c>
      <c r="D27" s="18">
        <v>1000</v>
      </c>
      <c r="E27" s="19">
        <v>1.76</v>
      </c>
      <c r="F27" s="20">
        <f>IF(OR(E27="",D27=""),"",E27*D27)</f>
      </c>
      <c r="G27" s="21" t="s">
        <v>14</v>
      </c>
      <c r="H27" s="20">
        <f>IF(G27="Nyert",F27,0)</f>
      </c>
      <c r="I27" s="22">
        <f>IF(G27="Nyert",H27-D27,IF(G27="Veszített",-D27,0))</f>
      </c>
      <c r="J27" t="s">
        <v>15</v>
      </c>
      <c r="K27" t="s">
        <v>15</v>
      </c>
      <c r="L27" s="1"/>
    </row>
    <row r="28" ht="18.75" customHeight="1" spans="1:12" x14ac:dyDescent="0.25">
      <c r="A28" s="1"/>
      <c r="B28" s="1"/>
      <c r="C28" s="17">
        <v>46279.5</v>
      </c>
      <c r="D28" s="18">
        <v>1000</v>
      </c>
      <c r="E28" s="19">
        <v>2.17</v>
      </c>
      <c r="F28" s="23">
        <f>IF(OR(E28="",D28=""),"",E28*D28)</f>
      </c>
      <c r="G28" s="21" t="s">
        <v>14</v>
      </c>
      <c r="H28" s="23">
        <f>IF(G28="Nyert",F28,0)</f>
      </c>
      <c r="I28" s="22">
        <f>IF(G28="Nyert",H28-D28,IF(G28="Veszített",-D28,0))</f>
      </c>
      <c r="J28" t="s">
        <v>15</v>
      </c>
      <c r="K28" t="s">
        <v>15</v>
      </c>
      <c r="L28" s="1"/>
    </row>
    <row r="29" ht="18.75" customHeight="1" spans="1:12" x14ac:dyDescent="0.25">
      <c r="A29" s="1"/>
      <c r="B29" s="1"/>
      <c r="C29" s="17">
        <v>46280.5</v>
      </c>
      <c r="D29" s="18">
        <v>1000</v>
      </c>
      <c r="E29" s="19">
        <v>2.15</v>
      </c>
      <c r="F29" s="20">
        <f>IF(OR(E29="",D29=""),"",E29*D29)</f>
      </c>
      <c r="G29" s="21" t="s">
        <v>14</v>
      </c>
      <c r="H29" s="20">
        <f>IF(G29="Nyert",F29,0)</f>
      </c>
      <c r="I29" s="22">
        <f>IF(G29="Nyert",H29-D29,IF(G29="Veszített",-D29,0))</f>
      </c>
      <c r="J29" t="s">
        <v>15</v>
      </c>
      <c r="K29" t="s">
        <v>15</v>
      </c>
      <c r="L29" s="1"/>
    </row>
    <row r="30" ht="18.75" customHeight="1" spans="1:12" x14ac:dyDescent="0.25">
      <c r="A30" s="1"/>
      <c r="B30" s="1"/>
      <c r="C30" s="17">
        <v>46280.5</v>
      </c>
      <c r="D30" s="18">
        <v>1000</v>
      </c>
      <c r="E30" s="19">
        <v>2.88</v>
      </c>
      <c r="F30" s="23">
        <f>IF(OR(E30="",D30=""),"",E30*D30)</f>
      </c>
      <c r="G30" s="21" t="s">
        <v>14</v>
      </c>
      <c r="H30" s="23">
        <f>IF(G30="Nyert",F30,0)</f>
      </c>
      <c r="I30" s="22">
        <f>IF(G30="Nyert",H30-D30,IF(G30="Veszített",-D30,0))</f>
      </c>
      <c r="J30" t="s">
        <v>15</v>
      </c>
      <c r="K30" t="s">
        <v>15</v>
      </c>
      <c r="L30" s="1"/>
    </row>
    <row r="31" ht="18.75" customHeight="1" spans="1:12" x14ac:dyDescent="0.25">
      <c r="A31" s="1"/>
      <c r="B31" s="1"/>
      <c r="C31" s="17">
        <v>46281.5</v>
      </c>
      <c r="D31" s="18">
        <v>1000</v>
      </c>
      <c r="E31" s="19">
        <v>2.16</v>
      </c>
      <c r="F31" s="20">
        <f>IF(OR(E31="",D31=""),"",E31*D31)</f>
      </c>
      <c r="G31" s="21" t="s">
        <v>14</v>
      </c>
      <c r="H31" s="20">
        <f>IF(G31="Nyert",F31,0)</f>
      </c>
      <c r="I31" s="22">
        <f>IF(G31="Nyert",H31-D31,IF(G31="Veszített",-D31,0))</f>
      </c>
      <c r="J31" t="s">
        <v>15</v>
      </c>
      <c r="K31" t="s">
        <v>15</v>
      </c>
      <c r="L31" s="1"/>
    </row>
    <row r="32" ht="18.75" customHeight="1" spans="1:12" x14ac:dyDescent="0.25">
      <c r="A32" s="1"/>
      <c r="B32" s="1"/>
      <c r="C32" s="17">
        <v>46282.5</v>
      </c>
      <c r="D32" s="18">
        <v>1000</v>
      </c>
      <c r="E32" s="19">
        <v>2.11</v>
      </c>
      <c r="F32" s="23">
        <f>IF(OR(E32="",D32=""),"",E32*D32)</f>
      </c>
      <c r="G32" s="21" t="s">
        <v>16</v>
      </c>
      <c r="H32" s="23">
        <f>IF(G32="Nyert",F32,0)</f>
      </c>
      <c r="I32" s="22">
        <f>IF(G32="Nyert",H32-D32,IF(G32="Veszített",-D32,0))</f>
      </c>
      <c r="J32" t="s">
        <v>15</v>
      </c>
      <c r="K32" t="s">
        <v>15</v>
      </c>
      <c r="L32" s="1"/>
    </row>
    <row r="33" ht="18.75" customHeight="1" spans="1:12" x14ac:dyDescent="0.25">
      <c r="A33" s="1"/>
      <c r="B33" s="1"/>
      <c r="C33" s="17">
        <v>46282.5</v>
      </c>
      <c r="D33" s="18">
        <v>1000</v>
      </c>
      <c r="E33" s="19">
        <v>1.82</v>
      </c>
      <c r="F33" s="20">
        <f>IF(OR(E33="",D33=""),"",E33*D33)</f>
      </c>
      <c r="G33" s="21" t="s">
        <v>14</v>
      </c>
      <c r="H33" s="20">
        <f>IF(G33="Nyert",F33,0)</f>
      </c>
      <c r="I33" s="22">
        <f>IF(G33="Nyert",H33-D33,IF(G33="Veszített",-D33,0))</f>
      </c>
      <c r="J33" t="s">
        <v>15</v>
      </c>
      <c r="K33" t="s">
        <v>15</v>
      </c>
      <c r="L33" s="1"/>
    </row>
    <row r="34" ht="18.75" customHeight="1" spans="1:12" x14ac:dyDescent="0.25">
      <c r="A34" s="1"/>
      <c r="B34" s="1"/>
      <c r="C34" s="17">
        <v>46283.5</v>
      </c>
      <c r="D34" s="18">
        <v>1000</v>
      </c>
      <c r="E34" s="19">
        <v>1.95</v>
      </c>
      <c r="F34" s="23">
        <f>IF(OR(E34="",D34=""),"",E34*D34)</f>
      </c>
      <c r="G34" s="21" t="s">
        <v>14</v>
      </c>
      <c r="H34" s="23">
        <f>IF(G34="Nyert",F34,0)</f>
      </c>
      <c r="I34" s="22">
        <f>IF(G34="Nyert",H34-D34,IF(G34="Veszített",-D34,0))</f>
      </c>
      <c r="J34" t="s">
        <v>15</v>
      </c>
      <c r="K34" t="s">
        <v>15</v>
      </c>
      <c r="L34" s="1"/>
    </row>
    <row r="35" ht="18.75" customHeight="1" spans="1:12" x14ac:dyDescent="0.25">
      <c r="A35" s="1"/>
      <c r="B35" s="1"/>
      <c r="C35" s="17">
        <v>46284.5</v>
      </c>
      <c r="D35" s="18">
        <v>2000</v>
      </c>
      <c r="E35" s="19">
        <v>2.85</v>
      </c>
      <c r="F35" s="20">
        <f>IF(OR(E35="",D35=""),"",E35*D35)</f>
      </c>
      <c r="G35" s="21" t="s">
        <v>16</v>
      </c>
      <c r="H35" s="20">
        <f>IF(G35="Nyert",F35,0)</f>
      </c>
      <c r="I35" s="22">
        <f>IF(G35="Nyert",H35-D35,IF(G35="Veszített",-D35,0))</f>
      </c>
      <c r="J35" t="s">
        <v>15</v>
      </c>
      <c r="K35" t="s">
        <v>15</v>
      </c>
      <c r="L35" s="1"/>
    </row>
    <row r="36" ht="18.75" customHeight="1" spans="1:12" x14ac:dyDescent="0.25">
      <c r="A36" s="1"/>
      <c r="B36" s="1"/>
      <c r="C36" s="17">
        <v>46285.5</v>
      </c>
      <c r="D36" s="18">
        <v>2000</v>
      </c>
      <c r="E36" s="19">
        <v>2.03</v>
      </c>
      <c r="F36" s="23">
        <f>IF(OR(E36="",D36=""),"",E36*D36)</f>
      </c>
      <c r="G36" s="21" t="s">
        <v>14</v>
      </c>
      <c r="H36" s="23">
        <f>IF(G36="Nyert",F36,0)</f>
      </c>
      <c r="I36" s="22">
        <f>IF(G36="Nyert",H36-D36,IF(G36="Veszített",-D36,0))</f>
      </c>
      <c r="J36" t="s">
        <v>15</v>
      </c>
      <c r="K36" t="s">
        <v>15</v>
      </c>
      <c r="L36" s="1"/>
    </row>
    <row r="37" ht="18.75" customHeight="1" spans="1:12" x14ac:dyDescent="0.25">
      <c r="A37" s="1"/>
      <c r="B37" s="1"/>
      <c r="C37" s="17">
        <v>46286.5</v>
      </c>
      <c r="D37" s="18">
        <v>2000</v>
      </c>
      <c r="E37" s="19">
        <v>2.02</v>
      </c>
      <c r="F37" s="20">
        <f>IF(OR(E37="",D37=""),"",E37*D37)</f>
      </c>
      <c r="G37" s="21" t="s">
        <v>14</v>
      </c>
      <c r="H37" s="20">
        <f>IF(G37="Nyert",F37,0)</f>
      </c>
      <c r="I37" s="22">
        <f>IF(G37="Nyert",H37-D37,IF(G37="Veszített",-D37,0))</f>
      </c>
      <c r="J37" t="s">
        <v>15</v>
      </c>
      <c r="K37" t="s">
        <v>15</v>
      </c>
      <c r="L37" s="1"/>
    </row>
    <row r="38" ht="18.75" customHeight="1" spans="1:12" x14ac:dyDescent="0.25">
      <c r="A38" s="1"/>
      <c r="B38" s="1"/>
      <c r="C38" s="17">
        <v>46287.5</v>
      </c>
      <c r="D38" s="18">
        <v>2000</v>
      </c>
      <c r="E38" s="19">
        <v>2.49</v>
      </c>
      <c r="F38" s="23">
        <f>IF(OR(E38="",D38=""),"",E38*D38)</f>
      </c>
      <c r="G38" s="21" t="s">
        <v>16</v>
      </c>
      <c r="H38" s="23">
        <f>IF(G38="Nyert",F38,0)</f>
      </c>
      <c r="I38" s="22">
        <f>IF(G38="Nyert",H38-D38,IF(G38="Veszített",-D38,0))</f>
      </c>
      <c r="J38" t="s">
        <v>15</v>
      </c>
      <c r="K38" t="s">
        <v>15</v>
      </c>
      <c r="L38" s="1"/>
    </row>
    <row r="39" ht="18.75" customHeight="1" spans="1:12" x14ac:dyDescent="0.25">
      <c r="A39" s="1"/>
      <c r="B39" s="1"/>
      <c r="C39" s="17">
        <v>46288.5</v>
      </c>
      <c r="D39" s="18">
        <v>2000</v>
      </c>
      <c r="E39" s="19">
        <v>1.62</v>
      </c>
      <c r="F39" s="20">
        <f>IF(OR(E39="",D39=""),"",E39*D39)</f>
      </c>
      <c r="G39" s="21" t="s">
        <v>16</v>
      </c>
      <c r="H39" s="20">
        <f>IF(G39="Nyert",F39,0)</f>
      </c>
      <c r="I39" s="22">
        <f>IF(G39="Nyert",H39-D39,IF(G39="Veszített",-D39,0))</f>
      </c>
      <c r="J39" t="s">
        <v>15</v>
      </c>
      <c r="K39" t="s">
        <v>15</v>
      </c>
      <c r="L39" s="1"/>
    </row>
    <row r="40" ht="18.75" customHeight="1" spans="1:12" x14ac:dyDescent="0.25">
      <c r="A40" s="1"/>
      <c r="B40" s="1"/>
      <c r="C40" s="17">
        <v>46289.5</v>
      </c>
      <c r="D40" s="18">
        <v>2000</v>
      </c>
      <c r="E40" s="19">
        <v>2.61</v>
      </c>
      <c r="F40" s="23">
        <f>IF(OR(E40="",D40=""),"",E40*D40)</f>
      </c>
      <c r="G40" s="21" t="s">
        <v>14</v>
      </c>
      <c r="H40" s="23">
        <f>IF(G40="Nyert",F40,0)</f>
      </c>
      <c r="I40" s="22">
        <f>IF(G40="Nyert",H40-D40,IF(G40="Veszített",-D40,0))</f>
      </c>
      <c r="J40" t="s">
        <v>15</v>
      </c>
      <c r="K40" t="s">
        <v>15</v>
      </c>
      <c r="L40" s="1"/>
    </row>
    <row r="41" ht="18.75" customHeight="1" spans="1:12" x14ac:dyDescent="0.25">
      <c r="A41" s="1"/>
      <c r="B41" s="1"/>
      <c r="C41" s="17">
        <v>46290.5</v>
      </c>
      <c r="D41" s="18">
        <v>2000</v>
      </c>
      <c r="E41" s="19">
        <v>2.54</v>
      </c>
      <c r="F41" s="20">
        <f>IF(OR(E41="",D41=""),"",E41*D41)</f>
      </c>
      <c r="G41" s="21" t="s">
        <v>16</v>
      </c>
      <c r="H41" s="20">
        <f>IF(G41="Nyert",F41,0)</f>
      </c>
      <c r="I41" s="22">
        <f>IF(G41="Nyert",H41-D41,IF(G41="Veszített",-D41,0))</f>
      </c>
      <c r="J41" t="s">
        <v>15</v>
      </c>
      <c r="K41" t="s">
        <v>15</v>
      </c>
      <c r="L41" s="1"/>
    </row>
    <row r="42" ht="18.75" customHeight="1" spans="1:12" x14ac:dyDescent="0.25">
      <c r="A42" s="1"/>
      <c r="B42" s="1"/>
      <c r="C42" s="17">
        <v>46290.5</v>
      </c>
      <c r="D42" s="18">
        <v>2000</v>
      </c>
      <c r="E42" s="19">
        <v>2.42</v>
      </c>
      <c r="F42" s="23">
        <f>IF(OR(E42="",D42=""),"",E42*D42)</f>
      </c>
      <c r="G42" s="21" t="s">
        <v>16</v>
      </c>
      <c r="H42" s="23">
        <f>IF(G42="Nyert",F42,0)</f>
      </c>
      <c r="I42" s="22">
        <f>IF(G42="Nyert",H42-D42,IF(G42="Veszített",-D42,0))</f>
      </c>
      <c r="J42" t="s">
        <v>15</v>
      </c>
      <c r="K42" t="s">
        <v>15</v>
      </c>
      <c r="L42" s="1"/>
    </row>
    <row r="43" ht="18.75" customHeight="1" spans="1:12" x14ac:dyDescent="0.25">
      <c r="A43" s="1"/>
      <c r="B43" s="1"/>
      <c r="C43" s="17">
        <v>46291.5</v>
      </c>
      <c r="D43" s="18">
        <v>2000</v>
      </c>
      <c r="E43" s="19">
        <v>2.09</v>
      </c>
      <c r="F43" s="20">
        <f>IF(OR(E43="",D43=""),"",E43*D43)</f>
      </c>
      <c r="G43" s="21" t="s">
        <v>14</v>
      </c>
      <c r="H43" s="20">
        <f>IF(G43="Nyert",F43,0)</f>
      </c>
      <c r="I43" s="22">
        <f>IF(G43="Nyert",H43-D43,IF(G43="Veszített",-D43,0))</f>
      </c>
      <c r="J43" t="s">
        <v>15</v>
      </c>
      <c r="K43" t="s">
        <v>15</v>
      </c>
      <c r="L43" s="1"/>
    </row>
    <row r="44" ht="18.75" customHeight="1" spans="1:12" x14ac:dyDescent="0.25">
      <c r="A44" s="1"/>
      <c r="B44" s="1"/>
      <c r="C44" s="17">
        <v>46292.5</v>
      </c>
      <c r="D44" s="18">
        <v>2000</v>
      </c>
      <c r="E44" s="19">
        <v>2.71</v>
      </c>
      <c r="F44" s="23">
        <f>IF(OR(E44="",D44=""),"",E44*D44)</f>
      </c>
      <c r="G44" s="21" t="s">
        <v>16</v>
      </c>
      <c r="H44" s="23">
        <f>IF(G44="Nyert",F44,0)</f>
      </c>
      <c r="I44" s="22">
        <f>IF(G44="Nyert",H44-D44,IF(G44="Veszített",-D44,0))</f>
      </c>
      <c r="J44" t="s">
        <v>15</v>
      </c>
      <c r="K44" t="s">
        <v>15</v>
      </c>
      <c r="L44" s="1"/>
    </row>
    <row r="45" ht="18.75" customHeight="1" spans="1:12" x14ac:dyDescent="0.25">
      <c r="A45" s="1"/>
      <c r="B45" s="1"/>
      <c r="C45" s="17">
        <v>46293.5</v>
      </c>
      <c r="D45" s="18">
        <v>2000</v>
      </c>
      <c r="E45" s="19">
        <v>2.22</v>
      </c>
      <c r="F45" s="20">
        <f>IF(OR(E45="",D45=""),"",E45*D45)</f>
      </c>
      <c r="G45" s="21" t="s">
        <v>16</v>
      </c>
      <c r="H45" s="20">
        <f>IF(G45="Nyert",F45,0)</f>
      </c>
      <c r="I45" s="22">
        <f>IF(G45="Nyert",H45-D45,IF(G45="Veszített",-D45,0))</f>
      </c>
      <c r="J45" t="s">
        <v>15</v>
      </c>
      <c r="K45" t="s">
        <v>15</v>
      </c>
      <c r="L45" s="1"/>
    </row>
    <row r="46" ht="18.75" customHeight="1" spans="1:12" x14ac:dyDescent="0.25">
      <c r="A46" s="1"/>
      <c r="B46" s="1"/>
      <c r="C46" s="17">
        <v>46294.5</v>
      </c>
      <c r="D46" s="18">
        <v>2000</v>
      </c>
      <c r="E46" s="19">
        <v>2.1</v>
      </c>
      <c r="F46" s="23">
        <f>IF(OR(E46="",D46=""),"",E46*D46)</f>
      </c>
      <c r="G46" s="21" t="s">
        <v>16</v>
      </c>
      <c r="H46" s="23">
        <f>IF(G46="Nyert",F46,0)</f>
      </c>
      <c r="I46" s="22">
        <f>IF(G46="Nyert",H46-D46,IF(G46="Veszített",-D46,0))</f>
      </c>
      <c r="J46" t="s">
        <v>15</v>
      </c>
      <c r="K46" t="s">
        <v>15</v>
      </c>
      <c r="L46" s="1"/>
    </row>
    <row r="47" ht="18.75" customHeight="1" spans="1:12" x14ac:dyDescent="0.25">
      <c r="A47" s="1"/>
      <c r="B47" s="1"/>
      <c r="C47" s="17">
        <v>46295.5</v>
      </c>
      <c r="D47" s="18">
        <v>2000</v>
      </c>
      <c r="E47" s="19">
        <v>2.38</v>
      </c>
      <c r="F47" s="20">
        <f>IF(OR(E47="",D47=""),"",E47*D47)</f>
      </c>
      <c r="G47" s="21" t="s">
        <v>16</v>
      </c>
      <c r="H47" s="20">
        <f>IF(G47="Nyert",F47,0)</f>
      </c>
      <c r="I47" s="22">
        <f>IF(G47="Nyert",H47-D47,IF(G47="Veszített",-D47,0))</f>
      </c>
      <c r="J47" t="s">
        <v>15</v>
      </c>
      <c r="K47" t="s">
        <v>15</v>
      </c>
      <c r="L47" s="1"/>
    </row>
    <row r="48" ht="18.75" customHeight="1" spans="1:12" x14ac:dyDescent="0.25">
      <c r="A48" s="1"/>
      <c r="B48" s="1"/>
      <c r="C48" s="17">
        <v>46296.5</v>
      </c>
      <c r="D48" s="18">
        <v>2000</v>
      </c>
      <c r="E48" s="19">
        <v>1.93</v>
      </c>
      <c r="F48" s="23">
        <f>IF(OR(E48="",D48=""),"",E48*D48)</f>
      </c>
      <c r="G48" s="21" t="s">
        <v>14</v>
      </c>
      <c r="H48" s="23">
        <f>IF(G48="Nyert",F48,0)</f>
      </c>
      <c r="I48" s="22">
        <f>IF(G48="Nyert",H48-D48,IF(G48="Veszített",-D48,0))</f>
      </c>
      <c r="J48" t="s">
        <v>15</v>
      </c>
      <c r="K48" t="s">
        <v>15</v>
      </c>
      <c r="L48" s="1"/>
    </row>
    <row r="49" ht="18.75" customHeight="1" spans="1:12" x14ac:dyDescent="0.25">
      <c r="A49" s="1"/>
      <c r="B49" s="1"/>
      <c r="C49" s="17">
        <v>46297.5</v>
      </c>
      <c r="D49" s="18">
        <v>2000</v>
      </c>
      <c r="E49" s="19">
        <v>1.7</v>
      </c>
      <c r="F49" s="20">
        <f>IF(OR(E49="",D49=""),"",E49*D49)</f>
      </c>
      <c r="G49" s="21" t="s">
        <v>14</v>
      </c>
      <c r="H49" s="20">
        <f>IF(G49="Nyert",F49,0)</f>
      </c>
      <c r="I49" s="22">
        <f>IF(G49="Nyert",H49-D49,IF(G49="Veszített",-D49,0))</f>
      </c>
      <c r="J49" t="s">
        <v>15</v>
      </c>
      <c r="K49" t="s">
        <v>15</v>
      </c>
      <c r="L49" s="1"/>
    </row>
    <row r="50" ht="18.75" customHeight="1" spans="1:12" x14ac:dyDescent="0.25">
      <c r="A50" s="1"/>
      <c r="B50" s="1"/>
      <c r="C50" s="17">
        <v>46298.5</v>
      </c>
      <c r="D50" s="18">
        <v>2000</v>
      </c>
      <c r="E50" s="19">
        <v>2.31</v>
      </c>
      <c r="F50" s="23">
        <f>IF(OR(E50="",D50=""),"",E50*D50)</f>
      </c>
      <c r="G50" s="21" t="s">
        <v>14</v>
      </c>
      <c r="H50" s="23">
        <f>IF(G50="Nyert",F50,0)</f>
      </c>
      <c r="I50" s="22">
        <f>IF(G50="Nyert",H50-D50,IF(G50="Veszített",-D50,0))</f>
      </c>
      <c r="J50" t="s">
        <v>15</v>
      </c>
      <c r="K50" t="s">
        <v>15</v>
      </c>
      <c r="L50" s="1"/>
    </row>
    <row r="51" ht="18.75" customHeight="1" spans="1:12" x14ac:dyDescent="0.25">
      <c r="A51" s="1"/>
      <c r="B51" s="1"/>
      <c r="C51" s="17">
        <v>46299.5</v>
      </c>
      <c r="D51" s="18">
        <v>2000</v>
      </c>
      <c r="E51" s="19">
        <v>2.03</v>
      </c>
      <c r="F51" s="20">
        <f>IF(OR(E51="",D51=""),"",E51*D51)</f>
      </c>
      <c r="G51" s="21" t="s">
        <v>14</v>
      </c>
      <c r="H51" s="20">
        <f>IF(G51="Nyert",F51,0)</f>
      </c>
      <c r="I51" s="22">
        <f>IF(G51="Nyert",H51-D51,IF(G51="Veszített",-D51,0))</f>
      </c>
      <c r="J51" t="s">
        <v>15</v>
      </c>
      <c r="K51" t="s">
        <v>15</v>
      </c>
      <c r="L51" s="1"/>
    </row>
    <row r="52" ht="18.75" customHeight="1" spans="1:12" x14ac:dyDescent="0.25">
      <c r="A52" s="1"/>
      <c r="B52" s="1"/>
      <c r="C52" s="17">
        <v>46300.5</v>
      </c>
      <c r="D52" s="18">
        <v>2000</v>
      </c>
      <c r="E52" s="19">
        <v>2.32</v>
      </c>
      <c r="F52" s="23">
        <f>IF(OR(E52="",D52=""),"",E52*D52)</f>
      </c>
      <c r="G52" s="21" t="s">
        <v>14</v>
      </c>
      <c r="H52" s="23">
        <f>IF(G52="Nyert",F52,0)</f>
      </c>
      <c r="I52" s="22">
        <f>IF(G52="Nyert",H52-D52,IF(G52="Veszített",-D52,0))</f>
      </c>
      <c r="J52" t="s">
        <v>15</v>
      </c>
      <c r="K52" t="s">
        <v>15</v>
      </c>
      <c r="L52" s="1"/>
    </row>
    <row r="53" ht="18.75" customHeight="1" spans="1:12" x14ac:dyDescent="0.25">
      <c r="A53" s="1"/>
      <c r="B53" s="1"/>
      <c r="C53" s="17">
        <v>46301.5</v>
      </c>
      <c r="D53" s="18">
        <v>2000</v>
      </c>
      <c r="E53" s="19">
        <v>2.56</v>
      </c>
      <c r="F53" s="20">
        <f>IF(OR(E53="",D53=""),"",E53*D53)</f>
      </c>
      <c r="G53" s="21" t="s">
        <v>16</v>
      </c>
      <c r="H53" s="20">
        <f>IF(G53="Nyert",F53,0)</f>
      </c>
      <c r="I53" s="22">
        <f>IF(G53="Nyert",H53-D53,IF(G53="Veszített",-D53,0))</f>
      </c>
      <c r="J53" t="s">
        <v>15</v>
      </c>
      <c r="K53" t="s">
        <v>15</v>
      </c>
      <c r="L53" s="1"/>
    </row>
    <row r="54" ht="18.75" customHeight="1" spans="1:12" x14ac:dyDescent="0.25">
      <c r="A54" s="1"/>
      <c r="B54" s="1"/>
      <c r="C54" s="17">
        <v>46302.5</v>
      </c>
      <c r="D54" s="18">
        <v>2000</v>
      </c>
      <c r="E54" s="19">
        <v>1.75</v>
      </c>
      <c r="F54" s="23">
        <f>IF(OR(E54="",D54=""),"",E54*D54)</f>
      </c>
      <c r="G54" s="21" t="s">
        <v>14</v>
      </c>
      <c r="H54" s="23">
        <f>IF(G54="Nyert",F54,0)</f>
      </c>
      <c r="I54" s="22">
        <f>IF(G54="Nyert",H54-D54,IF(G54="Veszített",-D54,0))</f>
      </c>
      <c r="J54" t="s">
        <v>15</v>
      </c>
      <c r="K54" t="s">
        <v>15</v>
      </c>
      <c r="L54" s="1"/>
    </row>
    <row r="55" ht="18.75" customHeight="1" spans="1:12" x14ac:dyDescent="0.25">
      <c r="A55" s="1"/>
      <c r="B55" s="1"/>
      <c r="C55" s="17">
        <v>46303.5</v>
      </c>
      <c r="D55" s="18">
        <v>2000</v>
      </c>
      <c r="E55" s="19">
        <v>2.86</v>
      </c>
      <c r="F55" s="20">
        <f>IF(OR(E55="",D55=""),"",E55*D55)</f>
      </c>
      <c r="G55" s="21" t="s">
        <v>14</v>
      </c>
      <c r="H55" s="20">
        <f>IF(G55="Nyert",F55,0)</f>
      </c>
      <c r="I55" s="22">
        <f>IF(G55="Nyert",H55-D55,IF(G55="Veszített",-D55,0))</f>
      </c>
      <c r="J55" t="s">
        <v>15</v>
      </c>
      <c r="K55" t="s">
        <v>15</v>
      </c>
      <c r="L55" s="1"/>
    </row>
    <row r="56" ht="18.75" customHeight="1" spans="1:12" x14ac:dyDescent="0.25">
      <c r="A56" s="1"/>
      <c r="B56" s="1"/>
      <c r="C56" s="17">
        <v>46304.5</v>
      </c>
      <c r="D56" s="18">
        <v>2000</v>
      </c>
      <c r="E56" s="19">
        <v>2.08</v>
      </c>
      <c r="F56" s="23">
        <f>IF(OR(E56="",D56=""),"",E56*D56)</f>
      </c>
      <c r="G56" s="21" t="s">
        <v>14</v>
      </c>
      <c r="H56" s="23">
        <f>IF(G56="Nyert",F56,0)</f>
      </c>
      <c r="I56" s="22">
        <f>IF(G56="Nyert",H56-D56,IF(G56="Veszített",-D56,0))</f>
      </c>
      <c r="J56" t="s">
        <v>15</v>
      </c>
      <c r="K56" t="s">
        <v>15</v>
      </c>
      <c r="L56" s="1"/>
    </row>
    <row r="57" ht="18.75" customHeight="1" spans="1:12" x14ac:dyDescent="0.25">
      <c r="A57" s="1"/>
      <c r="B57" s="1"/>
      <c r="C57" s="17">
        <v>46305.5</v>
      </c>
      <c r="D57" s="18">
        <v>2000</v>
      </c>
      <c r="E57" s="19">
        <v>2.37</v>
      </c>
      <c r="F57" s="20">
        <f>IF(OR(E57="",D57=""),"",E57*D57)</f>
      </c>
      <c r="G57" s="21" t="s">
        <v>14</v>
      </c>
      <c r="H57" s="20">
        <f>IF(G57="Nyert",F57,0)</f>
      </c>
      <c r="I57" s="22">
        <f>IF(G57="Nyert",H57-D57,IF(G57="Veszített",-D57,0))</f>
      </c>
      <c r="J57" t="s">
        <v>15</v>
      </c>
      <c r="K57" t="s">
        <v>15</v>
      </c>
      <c r="L57" s="1"/>
    </row>
    <row r="58" ht="18.75" customHeight="1" spans="1:12" x14ac:dyDescent="0.25">
      <c r="A58" s="1"/>
      <c r="B58" s="1"/>
      <c r="C58" s="17">
        <v>46306.5</v>
      </c>
      <c r="D58" s="18">
        <v>2000</v>
      </c>
      <c r="E58" s="19">
        <v>1.92</v>
      </c>
      <c r="F58" s="23">
        <f>IF(OR(E58="",D58=""),"",E58*D58)</f>
      </c>
      <c r="G58" s="21" t="s">
        <v>16</v>
      </c>
      <c r="H58" s="23">
        <f>IF(G58="Nyert",F58,0)</f>
      </c>
      <c r="I58" s="22">
        <f>IF(G58="Nyert",H58-D58,IF(G58="Veszített",-D58,0))</f>
      </c>
      <c r="J58" t="s">
        <v>15</v>
      </c>
      <c r="K58" t="s">
        <v>15</v>
      </c>
      <c r="L58" s="1"/>
    </row>
    <row r="59" ht="18.75" customHeight="1" spans="1:12" x14ac:dyDescent="0.25">
      <c r="A59" s="1"/>
      <c r="B59" s="1"/>
      <c r="C59" s="17">
        <v>46307.5</v>
      </c>
      <c r="D59" s="18">
        <v>2000</v>
      </c>
      <c r="E59" s="19">
        <v>2.81</v>
      </c>
      <c r="F59" s="20">
        <f>IF(OR(E59="",D59=""),"",E59*D59)</f>
      </c>
      <c r="G59" s="21" t="s">
        <v>16</v>
      </c>
      <c r="H59" s="20">
        <f>IF(G59="Nyert",F59,0)</f>
      </c>
      <c r="I59" s="22">
        <f>IF(G59="Nyert",H59-D59,IF(G59="Veszített",-D59,0))</f>
      </c>
      <c r="J59" t="s">
        <v>15</v>
      </c>
      <c r="K59" t="s">
        <v>15</v>
      </c>
      <c r="L59" s="1"/>
    </row>
    <row r="60" ht="18.75" customHeight="1" spans="1:12" x14ac:dyDescent="0.25">
      <c r="A60" s="1"/>
      <c r="B60" s="1"/>
      <c r="C60" s="17">
        <v>46308.5</v>
      </c>
      <c r="D60" s="18">
        <v>2000</v>
      </c>
      <c r="E60" s="19">
        <v>2.2</v>
      </c>
      <c r="F60" s="23">
        <f>IF(OR(E60="",D60=""),"",E60*D60)</f>
      </c>
      <c r="G60" s="21" t="s">
        <v>16</v>
      </c>
      <c r="H60" s="23">
        <f>IF(G60="Nyert",F60,0)</f>
      </c>
      <c r="I60" s="22">
        <f>IF(G60="Nyert",H60-D60,IF(G60="Veszített",-D60,0))</f>
      </c>
      <c r="J60" t="s">
        <v>15</v>
      </c>
      <c r="K60" t="s">
        <v>15</v>
      </c>
      <c r="L60" s="1"/>
    </row>
    <row r="61" ht="18.75" customHeight="1" spans="1:12" x14ac:dyDescent="0.25">
      <c r="A61" s="1"/>
      <c r="B61" s="1"/>
      <c r="C61" s="17">
        <v>46309.5</v>
      </c>
      <c r="D61" s="18">
        <v>2000</v>
      </c>
      <c r="E61" s="19">
        <v>2.03</v>
      </c>
      <c r="F61" s="20">
        <f>IF(OR(E61="",D61=""),"",E61*D61)</f>
      </c>
      <c r="G61" s="21" t="s">
        <v>14</v>
      </c>
      <c r="H61" s="20">
        <f>IF(G61="Nyert",F61,0)</f>
      </c>
      <c r="I61" s="22">
        <f>IF(G61="Nyert",H61-D61,IF(G61="Veszített",-D61,0))</f>
      </c>
      <c r="J61" t="s">
        <v>15</v>
      </c>
      <c r="K61" t="s">
        <v>15</v>
      </c>
      <c r="L61" s="1"/>
    </row>
    <row r="62" ht="18.75" customHeight="1" spans="1:12" x14ac:dyDescent="0.25">
      <c r="A62" s="1"/>
      <c r="B62" s="1"/>
      <c r="C62" s="17">
        <v>46310.5</v>
      </c>
      <c r="D62" s="18">
        <v>2000</v>
      </c>
      <c r="E62" s="19">
        <v>2.04</v>
      </c>
      <c r="F62" s="23">
        <f>IF(OR(E62="",D62=""),"",E62*D62)</f>
      </c>
      <c r="G62" s="21" t="s">
        <v>14</v>
      </c>
      <c r="H62" s="23">
        <f>IF(G62="Nyert",F62,0)</f>
      </c>
      <c r="I62" s="22">
        <f>IF(G62="Nyert",H62-D62,IF(G62="Veszített",-D62,0))</f>
      </c>
      <c r="J62" t="s">
        <v>15</v>
      </c>
      <c r="K62" t="s">
        <v>15</v>
      </c>
      <c r="L62" s="1"/>
    </row>
    <row r="63" ht="18.75" customHeight="1" spans="1:12" x14ac:dyDescent="0.25">
      <c r="A63" s="1"/>
      <c r="B63" s="1"/>
      <c r="C63" s="17">
        <v>46311.5</v>
      </c>
      <c r="D63" s="18">
        <v>2000</v>
      </c>
      <c r="E63" s="19">
        <v>2.1</v>
      </c>
      <c r="F63" s="20">
        <f>IF(OR(E63="",D63=""),"",E63*D63)</f>
      </c>
      <c r="G63" s="21" t="s">
        <v>14</v>
      </c>
      <c r="H63" s="20">
        <f>IF(G63="Nyert",F63,0)</f>
      </c>
      <c r="I63" s="22">
        <f>IF(G63="Nyert",H63-D63,IF(G63="Veszített",-D63,0))</f>
      </c>
      <c r="J63" t="s">
        <v>15</v>
      </c>
      <c r="K63" t="s">
        <v>15</v>
      </c>
      <c r="L63" s="1"/>
    </row>
    <row r="64" ht="18.75" customHeight="1" spans="1:12" x14ac:dyDescent="0.25">
      <c r="A64" s="1"/>
      <c r="B64" s="1"/>
      <c r="C64" s="17">
        <v>46312.5</v>
      </c>
      <c r="D64" s="18">
        <v>2000</v>
      </c>
      <c r="E64" s="19">
        <v>1.92</v>
      </c>
      <c r="F64" s="23">
        <f>IF(OR(E64="",D64=""),"",E64*D64)</f>
      </c>
      <c r="G64" s="21" t="s">
        <v>16</v>
      </c>
      <c r="H64" s="23">
        <f>IF(G64="Nyert",F64,0)</f>
      </c>
      <c r="I64" s="22">
        <f>IF(G64="Nyert",H64-D64,IF(G64="Veszített",-D64,0))</f>
      </c>
      <c r="J64" t="s">
        <v>15</v>
      </c>
      <c r="K64" t="s">
        <v>15</v>
      </c>
      <c r="L64" s="1"/>
    </row>
    <row r="65" ht="18.75" customHeight="1" spans="1:12" x14ac:dyDescent="0.25">
      <c r="A65" s="1"/>
      <c r="B65" s="1"/>
      <c r="C65" s="17">
        <v>46313.5</v>
      </c>
      <c r="D65" s="18">
        <v>2000</v>
      </c>
      <c r="E65" s="19">
        <v>1.74</v>
      </c>
      <c r="F65" s="20">
        <f>IF(OR(E65="",D65=""),"",E65*D65)</f>
      </c>
      <c r="G65" s="21" t="s">
        <v>14</v>
      </c>
      <c r="H65" s="20">
        <f>IF(G65="Nyert",F65,0)</f>
      </c>
      <c r="I65" s="22">
        <f>IF(G65="Nyert",H65-D65,IF(G65="Veszített",-D65,0))</f>
      </c>
      <c r="J65" t="s">
        <v>15</v>
      </c>
      <c r="K65" t="s">
        <v>15</v>
      </c>
      <c r="L65" s="1"/>
    </row>
    <row r="66" ht="18.75" customHeight="1" spans="1:12" x14ac:dyDescent="0.25">
      <c r="A66" s="1"/>
      <c r="B66" s="1"/>
      <c r="C66" s="17">
        <v>46314.5</v>
      </c>
      <c r="D66" s="18">
        <v>2000</v>
      </c>
      <c r="E66" s="19">
        <v>1.94</v>
      </c>
      <c r="F66" s="23">
        <f>IF(OR(E66="",D66=""),"",E66*D66)</f>
      </c>
      <c r="G66" s="21" t="s">
        <v>16</v>
      </c>
      <c r="H66" s="23">
        <f>IF(G66="Nyert",F66,0)</f>
      </c>
      <c r="I66" s="22">
        <f>IF(G66="Nyert",H66-D66,IF(G66="Veszített",-D66,0))</f>
      </c>
      <c r="J66" t="s">
        <v>15</v>
      </c>
      <c r="K66" t="s">
        <v>15</v>
      </c>
      <c r="L66" s="1"/>
    </row>
    <row r="67" ht="18.75" customHeight="1" spans="1:12" x14ac:dyDescent="0.25">
      <c r="A67" s="1"/>
      <c r="B67" s="1"/>
      <c r="C67" s="17">
        <v>46315.5</v>
      </c>
      <c r="D67" s="18">
        <v>2000</v>
      </c>
      <c r="E67" s="19">
        <v>1.98</v>
      </c>
      <c r="F67" s="20">
        <f>IF(OR(E67="",D67=""),"",E67*D67)</f>
      </c>
      <c r="G67" s="21" t="s">
        <v>16</v>
      </c>
      <c r="H67" s="20">
        <f>IF(G67="Nyert",F67,0)</f>
      </c>
      <c r="I67" s="22">
        <f>IF(G67="Nyert",H67-D67,IF(G67="Veszített",-D67,0))</f>
      </c>
      <c r="J67" t="s">
        <v>15</v>
      </c>
      <c r="K67" t="s">
        <v>15</v>
      </c>
      <c r="L67" s="1"/>
    </row>
    <row r="68" ht="18.75" customHeight="1" spans="1:12" x14ac:dyDescent="0.25">
      <c r="A68" s="1"/>
      <c r="B68" s="1"/>
      <c r="C68" s="17">
        <v>46316.5</v>
      </c>
      <c r="D68" s="18">
        <v>2000</v>
      </c>
      <c r="E68" s="19">
        <v>2.3</v>
      </c>
      <c r="F68" s="23">
        <f>IF(OR(E68="",D68=""),"",E68*D68)</f>
      </c>
      <c r="G68" s="21" t="s">
        <v>14</v>
      </c>
      <c r="H68" s="23">
        <f>IF(G68="Nyert",F68,0)</f>
      </c>
      <c r="I68" s="22">
        <f>IF(G68="Nyert",H68-D68,IF(G68="Veszített",-D68,0))</f>
      </c>
      <c r="J68" t="s">
        <v>15</v>
      </c>
      <c r="K68" t="s">
        <v>15</v>
      </c>
      <c r="L68" s="1"/>
    </row>
    <row r="69" ht="18.75" customHeight="1" spans="1:12" x14ac:dyDescent="0.25">
      <c r="A69" s="1"/>
      <c r="B69" s="1"/>
      <c r="C69" s="17">
        <v>46317.5</v>
      </c>
      <c r="D69" s="18">
        <v>2000</v>
      </c>
      <c r="E69" s="19">
        <v>2.26</v>
      </c>
      <c r="F69" s="20">
        <f>IF(OR(E69="",D69=""),"",E69*D69)</f>
      </c>
      <c r="G69" s="21" t="s">
        <v>16</v>
      </c>
      <c r="H69" s="20">
        <f>IF(G69="Nyert",F69,0)</f>
      </c>
      <c r="I69" s="22">
        <f>IF(G69="Nyert",H69-D69,IF(G69="Veszített",-D69,0))</f>
      </c>
      <c r="J69" t="s">
        <v>15</v>
      </c>
      <c r="K69" t="s">
        <v>15</v>
      </c>
      <c r="L69" s="1"/>
    </row>
    <row r="70" ht="18.75" customHeight="1" spans="1:12" x14ac:dyDescent="0.25">
      <c r="A70" s="1"/>
      <c r="B70" s="1"/>
      <c r="C70" s="17">
        <v>46318.5</v>
      </c>
      <c r="D70" s="18">
        <v>2000</v>
      </c>
      <c r="E70" s="19">
        <v>2.18</v>
      </c>
      <c r="F70" s="23">
        <f>IF(OR(E70="",D70=""),"",E70*D70)</f>
      </c>
      <c r="G70" s="21" t="s">
        <v>16</v>
      </c>
      <c r="H70" s="23">
        <f>IF(G70="Nyert",F70,0)</f>
      </c>
      <c r="I70" s="22">
        <f>IF(G70="Nyert",H70-D70,IF(G70="Veszített",-D70,0))</f>
      </c>
      <c r="J70" t="s">
        <v>15</v>
      </c>
      <c r="K70" t="s">
        <v>15</v>
      </c>
      <c r="L70" s="1"/>
    </row>
    <row r="71" ht="18.75" customHeight="1" spans="1:12" x14ac:dyDescent="0.25">
      <c r="A71" s="1"/>
      <c r="B71" s="1"/>
      <c r="C71" s="17">
        <v>46319.5</v>
      </c>
      <c r="D71" s="18">
        <v>2000</v>
      </c>
      <c r="E71" s="19">
        <v>2.69</v>
      </c>
      <c r="F71" s="20">
        <f>IF(OR(E71="",D71=""),"",E71*D71)</f>
      </c>
      <c r="G71" s="21" t="s">
        <v>16</v>
      </c>
      <c r="H71" s="20">
        <f>IF(G71="Nyert",F71,0)</f>
      </c>
      <c r="I71" s="22">
        <f>IF(G71="Nyert",H71-D71,IF(G71="Veszített",-D71,0))</f>
      </c>
      <c r="J71" t="s">
        <v>15</v>
      </c>
      <c r="K71" t="s">
        <v>15</v>
      </c>
      <c r="L71" s="1"/>
    </row>
    <row r="72" ht="18.75" customHeight="1" spans="1:12" x14ac:dyDescent="0.25">
      <c r="A72" s="1"/>
      <c r="B72" s="1"/>
      <c r="C72" s="17">
        <v>46320.5</v>
      </c>
      <c r="D72" s="18">
        <v>2000</v>
      </c>
      <c r="E72" s="19">
        <v>2.11</v>
      </c>
      <c r="F72" s="23">
        <f>IF(OR(E72="",D72=""),"",E72*D72)</f>
      </c>
      <c r="G72" s="21" t="s">
        <v>14</v>
      </c>
      <c r="H72" s="23">
        <f>IF(G72="Nyert",F72,0)</f>
      </c>
      <c r="I72" s="22">
        <f>IF(G72="Nyert",H72-D72,IF(G72="Veszített",-D72,0))</f>
      </c>
      <c r="J72" t="s">
        <v>15</v>
      </c>
      <c r="K72" t="s">
        <v>15</v>
      </c>
      <c r="L72" s="1"/>
    </row>
    <row r="73" ht="18.75" customHeight="1" spans="1:12" x14ac:dyDescent="0.25">
      <c r="A73" s="1"/>
      <c r="B73" s="1"/>
      <c r="C73" s="17">
        <v>46321.5</v>
      </c>
      <c r="D73" s="18">
        <v>2000</v>
      </c>
      <c r="E73" s="19">
        <v>2.59</v>
      </c>
      <c r="F73" s="20">
        <f>IF(OR(E73="",D73=""),"",E73*D73)</f>
      </c>
      <c r="G73" s="21" t="s">
        <v>14</v>
      </c>
      <c r="H73" s="20">
        <f>IF(G73="Nyert",F73,0)</f>
      </c>
      <c r="I73" s="22">
        <f>IF(G73="Nyert",H73-D73,IF(G73="Veszített",-D73,0))</f>
      </c>
      <c r="J73" t="s">
        <v>15</v>
      </c>
      <c r="K73" t="s">
        <v>15</v>
      </c>
      <c r="L73" s="1"/>
    </row>
    <row r="74" ht="18.75" customHeight="1" spans="1:12" x14ac:dyDescent="0.25">
      <c r="A74" s="1"/>
      <c r="B74" s="1"/>
      <c r="C74" s="17">
        <v>46322.5</v>
      </c>
      <c r="D74" s="18">
        <v>2000</v>
      </c>
      <c r="E74" s="19">
        <v>2.55</v>
      </c>
      <c r="F74" s="23">
        <f>IF(OR(E74="",D74=""),"",E74*D74)</f>
      </c>
      <c r="G74" s="21" t="s">
        <v>14</v>
      </c>
      <c r="H74" s="23">
        <f>IF(G74="Nyert",F74,0)</f>
      </c>
      <c r="I74" s="22">
        <f>IF(G74="Nyert",H74-D74,IF(G74="Veszített",-D74,0))</f>
      </c>
      <c r="J74" t="s">
        <v>15</v>
      </c>
      <c r="K74" t="s">
        <v>15</v>
      </c>
      <c r="L74" s="1"/>
    </row>
    <row r="75" ht="18.75" customHeight="1" spans="1:12" x14ac:dyDescent="0.25">
      <c r="A75" s="1"/>
      <c r="B75" s="1"/>
      <c r="C75" s="17">
        <v>46323.5</v>
      </c>
      <c r="D75" s="18">
        <v>2000</v>
      </c>
      <c r="E75" s="19">
        <v>2.33</v>
      </c>
      <c r="F75" s="20">
        <f>IF(OR(E75="",D75=""),"",E75*D75)</f>
      </c>
      <c r="G75" s="21" t="s">
        <v>17</v>
      </c>
      <c r="H75" s="20">
        <f>IF(G75="Nyert",F75,0)</f>
      </c>
      <c r="I75" s="22">
        <f>IF(G75="Nyert",H75-D75,IF(G75="Veszített",-D75,0))</f>
      </c>
      <c r="J75" t="s">
        <v>15</v>
      </c>
      <c r="K75" t="s">
        <v>15</v>
      </c>
      <c r="L75" s="1"/>
    </row>
    <row r="76" ht="18.75" customHeight="1" spans="1:12" x14ac:dyDescent="0.25">
      <c r="A76" s="1"/>
      <c r="B76" s="1"/>
      <c r="C76" s="17"/>
      <c r="D76" s="18"/>
      <c r="E76" s="19"/>
      <c r="F76" s="23"/>
      <c r="G76" s="21"/>
      <c r="H76" s="23"/>
      <c r="I76" s="22"/>
      <c r="L76" s="1"/>
    </row>
    <row r="77" ht="18.75" customHeight="1" spans="1:12" x14ac:dyDescent="0.25">
      <c r="A77" s="1"/>
      <c r="B77" s="1"/>
      <c r="C77" s="17"/>
      <c r="D77" s="18"/>
      <c r="E77" s="19"/>
      <c r="F77" s="20"/>
      <c r="G77" s="21"/>
      <c r="H77" s="20"/>
      <c r="I77" s="22"/>
      <c r="L77" s="1"/>
    </row>
    <row r="78" ht="18.75" customHeight="1" spans="1:12" x14ac:dyDescent="0.25">
      <c r="A78" s="1"/>
      <c r="B78" s="1"/>
      <c r="C78" s="17"/>
      <c r="D78" s="18"/>
      <c r="E78" s="19"/>
      <c r="F78" s="23"/>
      <c r="G78" s="21"/>
      <c r="H78" s="23"/>
      <c r="I78" s="22"/>
      <c r="L78" s="1"/>
    </row>
    <row r="79" ht="18.75" customHeight="1" spans="1:12" x14ac:dyDescent="0.25">
      <c r="A79" s="1"/>
      <c r="B79" s="1"/>
      <c r="C79" s="17"/>
      <c r="D79" s="18"/>
      <c r="E79" s="19"/>
      <c r="F79" s="20"/>
      <c r="G79" s="21"/>
      <c r="H79" s="20"/>
      <c r="I79" s="22"/>
      <c r="L79" s="1"/>
    </row>
    <row r="80" ht="18.75" customHeight="1" spans="1:12" x14ac:dyDescent="0.25">
      <c r="A80" s="1"/>
      <c r="B80" s="1"/>
      <c r="C80" s="17"/>
      <c r="D80" s="18"/>
      <c r="E80" s="19"/>
      <c r="F80" s="23"/>
      <c r="G80" s="21"/>
      <c r="H80" s="23"/>
      <c r="I80" s="22"/>
      <c r="L80" s="1"/>
    </row>
    <row r="81" ht="18.75" customHeight="1" spans="1:12" x14ac:dyDescent="0.25">
      <c r="A81" s="1"/>
      <c r="B81" s="1"/>
      <c r="C81" s="17"/>
      <c r="D81" s="18"/>
      <c r="E81" s="19"/>
      <c r="F81" s="20"/>
      <c r="G81" s="21"/>
      <c r="H81" s="20"/>
      <c r="I81" s="22"/>
      <c r="L81" s="1"/>
    </row>
    <row r="82" ht="18.75" customHeight="1" spans="1:12" x14ac:dyDescent="0.25">
      <c r="A82" s="1"/>
      <c r="B82" s="1"/>
      <c r="C82" s="17"/>
      <c r="D82" s="18"/>
      <c r="E82" s="19"/>
      <c r="F82" s="23"/>
      <c r="G82" s="21"/>
      <c r="H82" s="23"/>
      <c r="I82" s="22"/>
      <c r="L82" s="1"/>
    </row>
    <row r="83" ht="18.75" customHeight="1" spans="1:12" x14ac:dyDescent="0.25">
      <c r="A83" s="1"/>
      <c r="B83" s="1"/>
      <c r="C83" s="17"/>
      <c r="D83" s="18"/>
      <c r="E83" s="19"/>
      <c r="F83" s="20"/>
      <c r="G83" s="21"/>
      <c r="H83" s="20"/>
      <c r="I83" s="22"/>
      <c r="L83" s="1"/>
    </row>
    <row r="84" ht="18.75" customHeight="1" spans="1:12" x14ac:dyDescent="0.25">
      <c r="A84" s="1"/>
      <c r="B84" s="1"/>
      <c r="C84" s="17"/>
      <c r="D84" s="18"/>
      <c r="E84" s="19"/>
      <c r="F84" s="23"/>
      <c r="G84" s="21"/>
      <c r="H84" s="23"/>
      <c r="I84" s="22"/>
      <c r="L84" s="1"/>
    </row>
    <row r="85" ht="18.75" customHeight="1" spans="1:12" x14ac:dyDescent="0.25">
      <c r="A85" s="1"/>
      <c r="B85" s="1"/>
      <c r="C85" s="17"/>
      <c r="D85" s="18"/>
      <c r="E85" s="19"/>
      <c r="F85" s="20"/>
      <c r="G85" s="21"/>
      <c r="H85" s="20"/>
      <c r="I85" s="22"/>
      <c r="L85" s="1"/>
    </row>
    <row r="86" ht="18.75" customHeight="1" spans="1:12" x14ac:dyDescent="0.25">
      <c r="A86" s="1"/>
      <c r="B86" s="1"/>
      <c r="C86" s="17"/>
      <c r="D86" s="18"/>
      <c r="E86" s="19"/>
      <c r="F86" s="23"/>
      <c r="G86" s="21"/>
      <c r="H86" s="23"/>
      <c r="I86" s="22"/>
      <c r="L86" s="1"/>
    </row>
    <row r="87" ht="18.75" customHeight="1" spans="1:12" x14ac:dyDescent="0.25">
      <c r="A87" s="1"/>
      <c r="B87" s="1"/>
      <c r="C87" s="17"/>
      <c r="D87" s="18"/>
      <c r="E87" s="19"/>
      <c r="F87" s="20"/>
      <c r="G87" s="21"/>
      <c r="H87" s="20"/>
      <c r="I87" s="22"/>
      <c r="L87" s="1"/>
    </row>
    <row r="88" ht="18.75" customHeight="1" spans="1:12" x14ac:dyDescent="0.25">
      <c r="A88" s="1"/>
      <c r="B88" s="1"/>
      <c r="C88" s="17"/>
      <c r="D88" s="18"/>
      <c r="E88" s="19"/>
      <c r="F88" s="23"/>
      <c r="G88" s="21"/>
      <c r="H88" s="23"/>
      <c r="I88" s="22"/>
      <c r="L88" s="1"/>
    </row>
    <row r="89" ht="18.75" customHeight="1" spans="1:12" x14ac:dyDescent="0.25">
      <c r="A89" s="1"/>
      <c r="B89" s="1"/>
      <c r="C89" s="17"/>
      <c r="D89" s="18"/>
      <c r="E89" s="19"/>
      <c r="F89" s="20"/>
      <c r="G89" s="21"/>
      <c r="H89" s="20"/>
      <c r="I89" s="22"/>
      <c r="L89" s="1"/>
    </row>
    <row r="90" ht="18.75" customHeight="1" spans="1:12" x14ac:dyDescent="0.25">
      <c r="A90" s="1"/>
      <c r="B90" s="1"/>
      <c r="C90" s="17"/>
      <c r="D90" s="18"/>
      <c r="E90" s="19"/>
      <c r="F90" s="23"/>
      <c r="G90" s="21"/>
      <c r="H90" s="23"/>
      <c r="I90" s="22"/>
      <c r="L90" s="1"/>
    </row>
    <row r="91" ht="18.75" customHeight="1" spans="1:12" x14ac:dyDescent="0.25">
      <c r="A91" s="1"/>
      <c r="B91" s="1"/>
      <c r="C91" s="17"/>
      <c r="D91" s="18"/>
      <c r="E91" s="19"/>
      <c r="F91" s="20"/>
      <c r="G91" s="21"/>
      <c r="H91" s="20"/>
      <c r="I91" s="22"/>
      <c r="L91" s="1"/>
    </row>
    <row r="92" ht="18.75" customHeight="1" spans="1:12" x14ac:dyDescent="0.25">
      <c r="A92" s="1"/>
      <c r="B92" s="1"/>
      <c r="C92" s="17"/>
      <c r="D92" s="18"/>
      <c r="E92" s="19"/>
      <c r="F92" s="23"/>
      <c r="G92" s="21"/>
      <c r="H92" s="23"/>
      <c r="I92" s="22"/>
      <c r="L92" s="1"/>
    </row>
    <row r="93" ht="18.75" customHeight="1" spans="1:12" x14ac:dyDescent="0.25">
      <c r="A93" s="1"/>
      <c r="B93" s="1"/>
      <c r="C93" s="17"/>
      <c r="D93" s="18"/>
      <c r="E93" s="19"/>
      <c r="F93" s="20"/>
      <c r="G93" s="21"/>
      <c r="H93" s="20"/>
      <c r="I93" s="22"/>
      <c r="L93" s="1"/>
    </row>
    <row r="94" ht="18.75" customHeight="1" spans="1:12" x14ac:dyDescent="0.25">
      <c r="A94" s="1"/>
      <c r="B94" s="1"/>
      <c r="C94" s="17"/>
      <c r="D94" s="18"/>
      <c r="E94" s="19"/>
      <c r="F94" s="23"/>
      <c r="G94" s="21"/>
      <c r="H94" s="23"/>
      <c r="I94" s="22"/>
      <c r="L94" s="1"/>
    </row>
    <row r="95" ht="18.75" customHeight="1" spans="1:12" x14ac:dyDescent="0.25">
      <c r="A95" s="1"/>
      <c r="B95" s="1"/>
      <c r="C95" s="17"/>
      <c r="D95" s="18"/>
      <c r="E95" s="19"/>
      <c r="F95" s="20"/>
      <c r="G95" s="21"/>
      <c r="H95" s="20"/>
      <c r="I95" s="22"/>
      <c r="L95" s="1"/>
    </row>
    <row r="96" ht="18.75" customHeight="1" spans="1:12" x14ac:dyDescent="0.25">
      <c r="A96" s="1"/>
      <c r="B96" s="1"/>
      <c r="C96" s="17"/>
      <c r="D96" s="18"/>
      <c r="E96" s="19"/>
      <c r="F96" s="23"/>
      <c r="G96" s="21"/>
      <c r="H96" s="23"/>
      <c r="I96" s="22"/>
      <c r="L96" s="1"/>
    </row>
    <row r="97" ht="18.75" customHeight="1" spans="1:12" x14ac:dyDescent="0.25">
      <c r="A97" s="1"/>
      <c r="B97" s="1"/>
      <c r="C97" s="17"/>
      <c r="D97" s="18"/>
      <c r="E97" s="19"/>
      <c r="F97" s="20"/>
      <c r="G97" s="21"/>
      <c r="H97" s="20"/>
      <c r="I97" s="22"/>
      <c r="L97" s="1"/>
    </row>
    <row r="98" ht="18.75" customHeight="1" spans="1:12" x14ac:dyDescent="0.25">
      <c r="A98" s="1"/>
      <c r="B98" s="1"/>
      <c r="C98" s="17"/>
      <c r="D98" s="18"/>
      <c r="E98" s="19"/>
      <c r="F98" s="23"/>
      <c r="G98" s="21"/>
      <c r="H98" s="23"/>
      <c r="I98" s="22"/>
      <c r="L98" s="1"/>
    </row>
    <row r="99" ht="18.75" customHeight="1" spans="1:12" x14ac:dyDescent="0.25">
      <c r="A99" s="1"/>
      <c r="B99" s="1"/>
      <c r="C99" s="17"/>
      <c r="D99" s="18"/>
      <c r="E99" s="19"/>
      <c r="F99" s="20"/>
      <c r="G99" s="21"/>
      <c r="H99" s="20"/>
      <c r="I99" s="22"/>
      <c r="L99" s="1"/>
    </row>
    <row r="100" ht="18.75" customHeight="1" spans="1:12" x14ac:dyDescent="0.25">
      <c r="A100" s="1"/>
      <c r="B100" s="1"/>
      <c r="C100" s="17"/>
      <c r="D100" s="18"/>
      <c r="E100" s="19"/>
      <c r="F100" s="23"/>
      <c r="G100" s="21"/>
      <c r="H100" s="23"/>
      <c r="I100" s="22"/>
      <c r="L100" s="1"/>
    </row>
    <row r="101" ht="18.75" customHeight="1" spans="1:12" x14ac:dyDescent="0.25">
      <c r="A101" s="1"/>
      <c r="B101" s="1"/>
      <c r="C101" s="17"/>
      <c r="D101" s="18"/>
      <c r="E101" s="19"/>
      <c r="F101" s="20"/>
      <c r="G101" s="21"/>
      <c r="H101" s="20"/>
      <c r="I101" s="22"/>
      <c r="L101" s="1"/>
    </row>
    <row r="102" ht="18.75" customHeight="1" spans="1:12" x14ac:dyDescent="0.25">
      <c r="A102" s="1"/>
      <c r="B102" s="1"/>
      <c r="C102" s="17"/>
      <c r="D102" s="18"/>
      <c r="E102" s="19"/>
      <c r="F102" s="23"/>
      <c r="G102" s="21"/>
      <c r="H102" s="23"/>
      <c r="I102" s="22"/>
      <c r="L102" s="1"/>
    </row>
    <row r="103" ht="18.75" customHeight="1" spans="1:12" x14ac:dyDescent="0.25">
      <c r="A103" s="1"/>
      <c r="B103" s="1"/>
      <c r="C103" s="17"/>
      <c r="D103" s="18"/>
      <c r="E103" s="19"/>
      <c r="F103" s="20"/>
      <c r="G103" s="21"/>
      <c r="H103" s="20"/>
      <c r="I103" s="22"/>
      <c r="L103" s="1"/>
    </row>
    <row r="104" ht="18.75" customHeight="1" spans="1:12" x14ac:dyDescent="0.25">
      <c r="A104" s="1"/>
      <c r="B104" s="1"/>
      <c r="C104" s="17"/>
      <c r="D104" s="18"/>
      <c r="E104" s="19"/>
      <c r="F104" s="23"/>
      <c r="G104" s="21"/>
      <c r="H104" s="23"/>
      <c r="I104" s="22"/>
      <c r="L104" s="1"/>
    </row>
    <row r="105" ht="18.75" customHeight="1" spans="1:12" x14ac:dyDescent="0.25">
      <c r="A105" s="1"/>
      <c r="B105" s="1"/>
      <c r="C105" s="17"/>
      <c r="D105" s="18"/>
      <c r="E105" s="19"/>
      <c r="F105" s="20"/>
      <c r="G105" s="21"/>
      <c r="H105" s="20"/>
      <c r="I105" s="22"/>
      <c r="L105" s="1"/>
    </row>
    <row r="106" ht="18.75" customHeight="1" spans="1:12" x14ac:dyDescent="0.25">
      <c r="A106" s="1"/>
      <c r="B106" s="1"/>
      <c r="C106" s="17"/>
      <c r="D106" s="18"/>
      <c r="E106" s="19"/>
      <c r="F106" s="23"/>
      <c r="G106" s="21"/>
      <c r="H106" s="23"/>
      <c r="I106" s="22"/>
      <c r="L106" s="1"/>
    </row>
    <row r="107" ht="18.75" customHeight="1" spans="1:12" x14ac:dyDescent="0.25">
      <c r="A107" s="1"/>
      <c r="B107" s="1"/>
      <c r="C107" s="17"/>
      <c r="D107" s="18"/>
      <c r="E107" s="19"/>
      <c r="F107" s="20"/>
      <c r="G107" s="21"/>
      <c r="H107" s="20"/>
      <c r="I107" s="22"/>
      <c r="L107" s="1"/>
    </row>
    <row r="108" ht="18.75" customHeight="1" spans="1:12" x14ac:dyDescent="0.25">
      <c r="A108" s="1"/>
      <c r="B108" s="1"/>
      <c r="C108" s="17"/>
      <c r="D108" s="18"/>
      <c r="E108" s="19"/>
      <c r="F108" s="23"/>
      <c r="G108" s="21"/>
      <c r="H108" s="23"/>
      <c r="I108" s="22"/>
      <c r="L108" s="1"/>
    </row>
    <row r="109" ht="18.75" customHeight="1" spans="1:12" x14ac:dyDescent="0.25">
      <c r="A109" s="1"/>
      <c r="B109" s="1"/>
      <c r="C109" s="17"/>
      <c r="D109" s="18"/>
      <c r="E109" s="19"/>
      <c r="F109" s="20"/>
      <c r="G109" s="21"/>
      <c r="H109" s="20"/>
      <c r="I109" s="22"/>
      <c r="L109" s="1"/>
    </row>
    <row r="110" ht="18.75" customHeight="1" spans="1:12" x14ac:dyDescent="0.25">
      <c r="A110" s="1"/>
      <c r="B110" s="1"/>
      <c r="C110" s="17"/>
      <c r="D110" s="18"/>
      <c r="E110" s="19"/>
      <c r="F110" s="23"/>
      <c r="G110" s="21"/>
      <c r="H110" s="23"/>
      <c r="I110" s="22"/>
      <c r="L110" s="1"/>
    </row>
    <row r="111" ht="18.75" customHeight="1" spans="1:12" x14ac:dyDescent="0.25">
      <c r="A111" s="1"/>
      <c r="B111" s="1"/>
      <c r="C111" s="17"/>
      <c r="D111" s="18"/>
      <c r="E111" s="19"/>
      <c r="F111" s="20"/>
      <c r="G111" s="21"/>
      <c r="H111" s="20"/>
      <c r="I111" s="22"/>
      <c r="L111" s="1"/>
    </row>
    <row r="112" ht="18.75" customHeight="1" spans="1:12" x14ac:dyDescent="0.25">
      <c r="A112" s="1"/>
      <c r="B112" s="1"/>
      <c r="C112" s="17"/>
      <c r="D112" s="18"/>
      <c r="E112" s="19"/>
      <c r="F112" s="23"/>
      <c r="G112" s="21"/>
      <c r="H112" s="23"/>
      <c r="I112" s="22"/>
      <c r="L112" s="1"/>
    </row>
    <row r="113" ht="18.75" customHeight="1" spans="1:12" x14ac:dyDescent="0.25">
      <c r="A113" s="1"/>
      <c r="B113" s="1"/>
      <c r="C113" s="17"/>
      <c r="D113" s="18"/>
      <c r="E113" s="19"/>
      <c r="F113" s="20"/>
      <c r="G113" s="21"/>
      <c r="H113" s="20"/>
      <c r="I113" s="22"/>
      <c r="L113" s="1"/>
    </row>
    <row r="114" ht="18.75" customHeight="1" spans="1:12" x14ac:dyDescent="0.25">
      <c r="A114" s="1"/>
      <c r="B114" s="1"/>
      <c r="C114" s="17"/>
      <c r="D114" s="18"/>
      <c r="E114" s="19"/>
      <c r="F114" s="23"/>
      <c r="G114" s="21"/>
      <c r="H114" s="23"/>
      <c r="I114" s="22"/>
      <c r="L114" s="1"/>
    </row>
    <row r="115" ht="18.75" customHeight="1" spans="1:12" x14ac:dyDescent="0.25">
      <c r="A115" s="1"/>
      <c r="B115" s="1"/>
      <c r="C115" s="17"/>
      <c r="D115" s="18"/>
      <c r="E115" s="19"/>
      <c r="F115" s="20"/>
      <c r="G115" s="21"/>
      <c r="H115" s="20"/>
      <c r="I115" s="22"/>
      <c r="L115" s="1"/>
    </row>
    <row r="116" ht="18.75" customHeight="1" spans="1:12" x14ac:dyDescent="0.25">
      <c r="A116" s="1"/>
      <c r="B116" s="1"/>
      <c r="C116" s="17"/>
      <c r="D116" s="18"/>
      <c r="E116" s="19"/>
      <c r="F116" s="23"/>
      <c r="G116" s="21"/>
      <c r="H116" s="23"/>
      <c r="I116" s="22"/>
      <c r="L116" s="1"/>
    </row>
    <row r="117" ht="18.75" customHeight="1" spans="1:12" x14ac:dyDescent="0.25">
      <c r="A117" s="1"/>
      <c r="B117" s="1"/>
      <c r="C117" s="17"/>
      <c r="D117" s="18"/>
      <c r="E117" s="19"/>
      <c r="F117" s="20"/>
      <c r="G117" s="21"/>
      <c r="H117" s="20"/>
      <c r="I117" s="22"/>
      <c r="L117" s="1"/>
    </row>
    <row r="118" ht="18.75" customHeight="1" spans="1:12" x14ac:dyDescent="0.25">
      <c r="A118" s="1"/>
      <c r="B118" s="1"/>
      <c r="C118" s="17"/>
      <c r="D118" s="18"/>
      <c r="E118" s="19"/>
      <c r="F118" s="23"/>
      <c r="G118" s="21"/>
      <c r="H118" s="23"/>
      <c r="I118" s="22"/>
      <c r="L118" s="1"/>
    </row>
    <row r="119" ht="18.75" customHeight="1" spans="1:12" x14ac:dyDescent="0.25">
      <c r="A119" s="1"/>
      <c r="B119" s="1"/>
      <c r="C119" s="17"/>
      <c r="D119" s="18"/>
      <c r="E119" s="19"/>
      <c r="F119" s="20"/>
      <c r="G119" s="21"/>
      <c r="H119" s="20"/>
      <c r="I119" s="22"/>
      <c r="L119" s="1"/>
    </row>
    <row r="120" ht="18.75" customHeight="1" spans="1:12" x14ac:dyDescent="0.25">
      <c r="A120" s="1"/>
      <c r="B120" s="1"/>
      <c r="C120" s="17"/>
      <c r="D120" s="18"/>
      <c r="E120" s="19"/>
      <c r="F120" s="23"/>
      <c r="G120" s="21"/>
      <c r="H120" s="23"/>
      <c r="I120" s="22"/>
      <c r="L120" s="1"/>
    </row>
    <row r="121" ht="18.75" customHeight="1" spans="1:12" x14ac:dyDescent="0.25">
      <c r="A121" s="1"/>
      <c r="B121" s="1"/>
      <c r="C121" s="17"/>
      <c r="D121" s="18"/>
      <c r="E121" s="19"/>
      <c r="F121" s="20"/>
      <c r="G121" s="21"/>
      <c r="H121" s="20"/>
      <c r="I121" s="22"/>
      <c r="L121" s="1"/>
    </row>
    <row r="122" ht="18.75" customHeight="1" spans="1:12" x14ac:dyDescent="0.25">
      <c r="A122" s="1"/>
      <c r="B122" s="1"/>
      <c r="C122" s="17"/>
      <c r="D122" s="18"/>
      <c r="E122" s="19"/>
      <c r="F122" s="23"/>
      <c r="G122" s="21"/>
      <c r="H122" s="23"/>
      <c r="I122" s="22"/>
      <c r="L122" s="1"/>
    </row>
    <row r="123" ht="18.75" customHeight="1" spans="1:12" x14ac:dyDescent="0.25">
      <c r="A123" s="1"/>
      <c r="B123" s="1"/>
      <c r="C123" s="17"/>
      <c r="D123" s="18"/>
      <c r="E123" s="19"/>
      <c r="F123" s="20"/>
      <c r="G123" s="21"/>
      <c r="H123" s="20"/>
      <c r="I123" s="22"/>
      <c r="L123" s="1"/>
    </row>
    <row r="124" ht="18.75" customHeight="1" spans="1:12" x14ac:dyDescent="0.25">
      <c r="A124" s="1"/>
      <c r="B124" s="1"/>
      <c r="C124" s="17"/>
      <c r="D124" s="18"/>
      <c r="E124" s="19"/>
      <c r="F124" s="23"/>
      <c r="G124" s="21"/>
      <c r="H124" s="23"/>
      <c r="I124" s="22"/>
      <c r="L124" s="1"/>
    </row>
    <row r="125" ht="18.75" customHeight="1" spans="1:12" x14ac:dyDescent="0.25">
      <c r="A125" s="1"/>
      <c r="B125" s="1"/>
      <c r="C125" s="17"/>
      <c r="D125" s="18"/>
      <c r="E125" s="19"/>
      <c r="F125" s="20"/>
      <c r="G125" s="21"/>
      <c r="H125" s="20"/>
      <c r="I125" s="22"/>
      <c r="L125" s="1"/>
    </row>
    <row r="126" ht="18.75" customHeight="1" spans="1:12" x14ac:dyDescent="0.25">
      <c r="A126" s="1"/>
      <c r="B126" s="1"/>
      <c r="C126" s="17"/>
      <c r="D126" s="18"/>
      <c r="E126" s="19"/>
      <c r="F126" s="23"/>
      <c r="G126" s="21"/>
      <c r="H126" s="23"/>
      <c r="I126" s="22"/>
      <c r="L126" s="1"/>
    </row>
    <row r="127" ht="18.75" customHeight="1" spans="1:12" x14ac:dyDescent="0.25">
      <c r="A127" s="1"/>
      <c r="B127" s="1"/>
      <c r="C127" s="17"/>
      <c r="D127" s="18"/>
      <c r="E127" s="19"/>
      <c r="F127" s="20"/>
      <c r="G127" s="21"/>
      <c r="H127" s="20"/>
      <c r="I127" s="22"/>
      <c r="L127" s="1"/>
    </row>
    <row r="128" ht="18.75" customHeight="1" spans="1:12" x14ac:dyDescent="0.25">
      <c r="A128" s="1"/>
      <c r="B128" s="1"/>
      <c r="C128" s="17"/>
      <c r="D128" s="18"/>
      <c r="E128" s="19"/>
      <c r="F128" s="23"/>
      <c r="G128" s="21"/>
      <c r="H128" s="23"/>
      <c r="I128" s="22"/>
      <c r="L128" s="1"/>
    </row>
    <row r="129" ht="18.75" customHeight="1" spans="1:12" x14ac:dyDescent="0.25">
      <c r="A129" s="1"/>
      <c r="B129" s="1"/>
      <c r="C129" s="17"/>
      <c r="D129" s="18"/>
      <c r="E129" s="19"/>
      <c r="F129" s="20"/>
      <c r="G129" s="21"/>
      <c r="H129" s="20"/>
      <c r="I129" s="22"/>
      <c r="L129" s="1"/>
    </row>
    <row r="130" ht="18.75" customHeight="1" spans="1:12" x14ac:dyDescent="0.25">
      <c r="A130" s="1"/>
      <c r="B130" s="1"/>
      <c r="C130" s="17"/>
      <c r="D130" s="18"/>
      <c r="E130" s="19"/>
      <c r="F130" s="23"/>
      <c r="G130" s="21"/>
      <c r="H130" s="23"/>
      <c r="I130" s="22"/>
      <c r="L130" s="1"/>
    </row>
    <row r="131" ht="18.75" customHeight="1" spans="1:12" x14ac:dyDescent="0.25">
      <c r="A131" s="1"/>
      <c r="B131" s="1"/>
      <c r="C131" s="17"/>
      <c r="D131" s="18"/>
      <c r="E131" s="19"/>
      <c r="F131" s="20"/>
      <c r="G131" s="21"/>
      <c r="H131" s="20"/>
      <c r="I131" s="22"/>
      <c r="L131" s="1"/>
    </row>
    <row r="132" ht="18.75" customHeight="1" spans="1:12" x14ac:dyDescent="0.25">
      <c r="A132" s="1"/>
      <c r="B132" s="1"/>
      <c r="C132" s="17"/>
      <c r="D132" s="18"/>
      <c r="E132" s="19"/>
      <c r="F132" s="23"/>
      <c r="G132" s="21"/>
      <c r="H132" s="23"/>
      <c r="I132" s="22"/>
      <c r="L132" s="1"/>
    </row>
    <row r="133" ht="18.75" customHeight="1" spans="1:12" x14ac:dyDescent="0.25">
      <c r="A133" s="1"/>
      <c r="B133" s="1"/>
      <c r="C133" s="17"/>
      <c r="D133" s="18"/>
      <c r="E133" s="19"/>
      <c r="F133" s="20"/>
      <c r="G133" s="21"/>
      <c r="H133" s="20"/>
      <c r="I133" s="22"/>
      <c r="L133" s="1"/>
    </row>
  </sheetData>
  <mergeCells count="10">
    <mergeCell ref="C1:K1"/>
    <mergeCell ref="C2:K2"/>
    <mergeCell ref="C3:D3"/>
    <mergeCell ref="E3:F3"/>
    <mergeCell ref="G3:H3"/>
    <mergeCell ref="I3:K3"/>
    <mergeCell ref="C4:D4"/>
    <mergeCell ref="E4:F4"/>
    <mergeCell ref="G4:H4"/>
    <mergeCell ref="I4:K4"/>
  </mergeCells>
  <conditionalFormatting sqref="G7:G133">
    <cfRule type="cellIs" dxfId="0" priority="1" operator="equal">
      <formula>"Nyert"</formula>
    </cfRule>
    <cfRule type="cellIs" dxfId="1" priority="2" operator="equal">
      <formula>"Veszített"</formula>
    </cfRule>
  </conditionalFormatting>
  <conditionalFormatting sqref="I7:I133">
    <cfRule type="cellIs" dxfId="2" priority="3" operator="greaterThan">
      <formula>0</formula>
    </cfRule>
    <cfRule type="cellIs" dxfId="3" priority="4" operator="lessThan">
      <formula>0</formula>
    </cfRule>
  </conditionalFormatting>
  <dataValidations count="2">
    <dataValidation type="list" allowBlank="1" sqref="G10:G133">
      <formula1>"Nyert,Veszített"</formula1>
    </dataValidation>
    <dataValidation type="list" allowBlank="1" sqref="G7:G133">
      <formula1>"Nyert,Veszített"</formula1>
    </dataValidation>
  </dataValidations>
  <pageMargins left="0.75" right="0.75" top="1" bottom="1" header="0.5" footer="0.5"/>
  <pageSetup orientation="portrait" horizontalDpi="4294967295" verticalDpi="4294967295" scale="26" fitToWidth="1" fitToHeight="0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9"/>
  <sheetViews>
    <sheetView workbookViewId="0" showGridLines="0" zoomScale="100" zoomScaleNormal="100">
      <pane ySplit="6" topLeftCell="A41" activePane="bottomLeft" state="frozen"/>
      <selection pane="bottomLeft" activeCell="J49" sqref="J49"/>
    </sheetView>
  </sheetViews>
  <sheetFormatPr defaultRowHeight="15" outlineLevelRow="0" outlineLevelCol="0" x14ac:dyDescent="0.25"/>
  <cols>
    <col min="1" max="1" width="12" customWidth="1"/>
    <col min="2" max="3" width="15" customWidth="1"/>
    <col min="4" max="4" width="13" customWidth="1"/>
    <col min="5" max="5" width="10" customWidth="1"/>
    <col min="6" max="6" width="12" customWidth="1"/>
    <col min="7" max="7" width="13" customWidth="1"/>
    <col min="8" max="8" width="18" customWidth="1"/>
    <col min="9" max="9" width="17" customWidth="1"/>
    <col min="10" max="10" width="10" customWidth="1"/>
    <col min="11" max="11" width="3" customWidth="1"/>
    <col min="12" max="12" width="22" customWidth="1"/>
    <col min="13" max="13" width="18" customWidth="1"/>
    <col min="14" max="14" width="10.42578125" customWidth="1"/>
    <col min="15" max="15" width="16.7109375" customWidth="1"/>
  </cols>
  <sheetData>
    <row r="1" ht="33.95" customHeight="1" spans="1:13" x14ac:dyDescent="0.25">
      <c r="A1" s="24" t="s">
        <v>32</v>
      </c>
      <c r="B1"/>
      <c r="C1"/>
      <c r="D1"/>
      <c r="E1"/>
      <c r="F1"/>
      <c r="G1"/>
      <c r="H1"/>
      <c r="I1"/>
      <c r="J1"/>
      <c r="L1" s="25" t="s">
        <v>19</v>
      </c>
      <c r="M1"/>
    </row>
    <row r="3" spans="1:13" x14ac:dyDescent="0.25">
      <c r="A3" s="26" t="s">
        <v>20</v>
      </c>
      <c r="B3" s="27">
        <v>2026</v>
      </c>
      <c r="C3" s="28" t="s">
        <v>33</v>
      </c>
      <c r="L3" s="29" t="s">
        <v>22</v>
      </c>
      <c r="M3" s="30">
        <f>SUM(D7:D59)</f>
        <v>66</v>
      </c>
    </row>
    <row r="4" spans="12:15" x14ac:dyDescent="0.25">
      <c r="L4" s="29" t="s">
        <v>14</v>
      </c>
      <c r="M4" s="30">
        <f>SUM(E7:E59)</f>
        <v>40</v>
      </c>
      <c r="N4" s="29" t="s">
        <v>23</v>
      </c>
      <c r="O4" s="44">
        <f>SUM(H7:H59)</f>
        <v>21180</v>
      </c>
    </row>
    <row r="5" spans="12:15" x14ac:dyDescent="0.25">
      <c r="L5" s="29" t="s">
        <v>16</v>
      </c>
      <c r="M5" s="30">
        <f>SUM(F7:F59)</f>
        <v>26</v>
      </c>
      <c r="N5" s="29" t="s">
        <v>24</v>
      </c>
      <c r="O5" s="44">
        <f>SUM(I7:I59)</f>
        <v>104000</v>
      </c>
    </row>
    <row r="6" ht="32.1" customHeight="1" spans="1:15" x14ac:dyDescent="0.25">
      <c r="A6" s="32" t="s">
        <v>34</v>
      </c>
      <c r="B6" s="32" t="s">
        <v>35</v>
      </c>
      <c r="C6" s="32" t="s">
        <v>36</v>
      </c>
      <c r="D6" s="32" t="s">
        <v>22</v>
      </c>
      <c r="E6" s="32" t="s">
        <v>14</v>
      </c>
      <c r="F6" s="32" t="s">
        <v>16</v>
      </c>
      <c r="G6" s="32" t="s">
        <v>28</v>
      </c>
      <c r="H6" s="32" t="s">
        <v>37</v>
      </c>
      <c r="I6" s="32" t="s">
        <v>30</v>
      </c>
      <c r="J6" s="32" t="s">
        <v>31</v>
      </c>
      <c r="L6" s="29" t="s">
        <v>28</v>
      </c>
      <c r="M6" s="33">
        <f>IFERROR(M4/M3,0)</f>
        <v>0.6060606060606061</v>
      </c>
      <c r="N6" s="29" t="s">
        <v>31</v>
      </c>
      <c r="O6" s="33">
        <f>IFERROR(O4/O5,0)</f>
        <v>0.20365384615384616</v>
      </c>
    </row>
    <row r="7" hidden="1" spans="1:10" x14ac:dyDescent="0.25">
      <c r="A7" s="34" t="str">
        <f t="shared" ref="A7:A38" si="0">IF(OR(B7="",B7&gt;TODAY()+370),"","CW"&amp;TEXT(ROW()-6,"00"))</f>
        <v>CW01</v>
      </c>
      <c r="B7" s="42">
        <f t="shared" ref="B7:B38" si="1">DATE($B$3,1,4)-WEEKDAY(DATE($B$3,1,4),2)+1+(ROW()-7)*7</f>
        <v>46020</v>
      </c>
      <c r="C7" s="42">
        <f t="shared" ref="C7:C38" si="2">B7+6</f>
        <v>46026</v>
      </c>
      <c r="D7" s="34">
        <f>COUNTIFS('Tippmix napló'!$C$7:$C$133,"&gt;="&amp;B7,'Tippmix napló'!$C$7:$C$133,"&lt;"&amp;C7+1,'Tippmix napló'!$G$7:$G$133,"Nyert")+COUNTIFS('Tippmix napló'!$C$7:$C$133,"&gt;="&amp;B7,'Tippmix napló'!$C$7:$C$133,"&lt;"&amp;C7+1,'Tippmix napló'!$G$7:$G$133,"Veszített")</f>
        <v>0</v>
      </c>
      <c r="E7" s="34">
        <f>COUNTIFS('Tippmix napló'!$C$7:$C$133,"&gt;="&amp;B7,'Tippmix napló'!$C$7:$C$133,"&lt;"&amp;C7+1,'Tippmix napló'!$G$7:$G$133,"Nyert")</f>
        <v>0</v>
      </c>
      <c r="F7" s="34">
        <f>COUNTIFS('Tippmix napló'!$C$7:$C$133,"&gt;="&amp;B7,'Tippmix napló'!$C$7:$C$133,"&lt;"&amp;C7+1,'Tippmix napló'!$G$7:$G$133,"Veszített")</f>
        <v>0</v>
      </c>
      <c r="G7" s="36">
        <f t="shared" ref="G7:G38" si="3">IFERROR(E7/(E7+F7),0)</f>
        <v>0</v>
      </c>
      <c r="H7" s="43">
        <f>SUMIFS('Tippmix napló'!$I$7:$I$133,'Tippmix napló'!$C$7:$C$133,"&gt;="&amp;B7,'Tippmix napló'!$C$7:$C$133,"&lt;"&amp;C7+1)</f>
        <v>0</v>
      </c>
      <c r="I7" s="37">
        <f>SUMIFS('Tippmix napló'!$D$7:$D$133,'Tippmix napló'!$C$7:$C$133,"&gt;="&amp;B7,'Tippmix napló'!$C$7:$C$133,"&lt;"&amp;C7+1,'Tippmix napló'!$G$7:$G$133,"Nyert")+SUMIFS('Tippmix napló'!$D$7:$D$133,'Tippmix napló'!$C$7:$C$133,"&gt;="&amp;B7,'Tippmix napló'!$C$7:$C$133,"&lt;"&amp;C7+1,'Tippmix napló'!$G$7:$G$133,"Veszített")</f>
        <v>0</v>
      </c>
      <c r="J7" s="36">
        <f t="shared" ref="J7:J38" si="4">IFERROR(H7/I7,0)</f>
        <v>0</v>
      </c>
    </row>
    <row r="8" hidden="1" spans="1:10" x14ac:dyDescent="0.25">
      <c r="A8" s="38" t="str">
        <f t="shared" si="0"/>
        <v>CW02</v>
      </c>
      <c r="B8" s="45">
        <f t="shared" si="1"/>
        <v>46027</v>
      </c>
      <c r="C8" s="45">
        <f t="shared" si="2"/>
        <v>46033</v>
      </c>
      <c r="D8" s="38">
        <f>COUNTIFS('Tippmix napló'!$C$7:$C$133,"&gt;="&amp;B8,'Tippmix napló'!$C$7:$C$133,"&lt;"&amp;C8+1,'Tippmix napló'!$G$7:$G$133,"Nyert")+COUNTIFS('Tippmix napló'!$C$7:$C$133,"&gt;="&amp;B8,'Tippmix napló'!$C$7:$C$133,"&lt;"&amp;C8+1,'Tippmix napló'!$G$7:$G$133,"Veszített")</f>
        <v>0</v>
      </c>
      <c r="E8" s="38">
        <f>COUNTIFS('Tippmix napló'!$C$7:$C$133,"&gt;="&amp;B8,'Tippmix napló'!$C$7:$C$133,"&lt;"&amp;C8+1,'Tippmix napló'!$G$7:$G$133,"Nyert")</f>
        <v>0</v>
      </c>
      <c r="F8" s="38">
        <f>COUNTIFS('Tippmix napló'!$C$7:$C$133,"&gt;="&amp;B8,'Tippmix napló'!$C$7:$C$133,"&lt;"&amp;C8+1,'Tippmix napló'!$G$7:$G$133,"Veszített")</f>
        <v>0</v>
      </c>
      <c r="G8" s="40">
        <f t="shared" si="3"/>
        <v>0</v>
      </c>
      <c r="H8" s="46">
        <f>SUMIFS('Tippmix napló'!$I$7:$I$133,'Tippmix napló'!$C$7:$C$133,"&gt;="&amp;B8,'Tippmix napló'!$C$7:$C$133,"&lt;"&amp;C8+1)</f>
        <v>0</v>
      </c>
      <c r="I8" s="41">
        <f>SUMIFS('Tippmix napló'!$D$7:$D$133,'Tippmix napló'!$C$7:$C$133,"&gt;="&amp;B8,'Tippmix napló'!$C$7:$C$133,"&lt;"&amp;C8+1,'Tippmix napló'!$G$7:$G$133,"Nyert")+SUMIFS('Tippmix napló'!$D$7:$D$133,'Tippmix napló'!$C$7:$C$133,"&gt;="&amp;B8,'Tippmix napló'!$C$7:$C$133,"&lt;"&amp;C8+1,'Tippmix napló'!$G$7:$G$133,"Veszített")</f>
        <v>0</v>
      </c>
      <c r="J8" s="40">
        <f t="shared" si="4"/>
        <v>0</v>
      </c>
    </row>
    <row r="9" hidden="1" spans="1:10" x14ac:dyDescent="0.25">
      <c r="A9" s="34" t="str">
        <f t="shared" si="0"/>
        <v>CW03</v>
      </c>
      <c r="B9" s="42">
        <f t="shared" si="1"/>
        <v>46034</v>
      </c>
      <c r="C9" s="42">
        <f t="shared" si="2"/>
        <v>46040</v>
      </c>
      <c r="D9" s="34">
        <f>COUNTIFS('Tippmix napló'!$C$7:$C$133,"&gt;="&amp;B9,'Tippmix napló'!$C$7:$C$133,"&lt;"&amp;C9+1,'Tippmix napló'!$G$7:$G$133,"Nyert")+COUNTIFS('Tippmix napló'!$C$7:$C$133,"&gt;="&amp;B9,'Tippmix napló'!$C$7:$C$133,"&lt;"&amp;C9+1,'Tippmix napló'!$G$7:$G$133,"Veszített")</f>
        <v>0</v>
      </c>
      <c r="E9" s="34">
        <f>COUNTIFS('Tippmix napló'!$C$7:$C$133,"&gt;="&amp;B9,'Tippmix napló'!$C$7:$C$133,"&lt;"&amp;C9+1,'Tippmix napló'!$G$7:$G$133,"Nyert")</f>
        <v>0</v>
      </c>
      <c r="F9" s="34">
        <f>COUNTIFS('Tippmix napló'!$C$7:$C$133,"&gt;="&amp;B9,'Tippmix napló'!$C$7:$C$133,"&lt;"&amp;C9+1,'Tippmix napló'!$G$7:$G$133,"Veszített")</f>
        <v>0</v>
      </c>
      <c r="G9" s="36">
        <f t="shared" si="3"/>
        <v>0</v>
      </c>
      <c r="H9" s="43">
        <f>SUMIFS('Tippmix napló'!$I$7:$I$133,'Tippmix napló'!$C$7:$C$133,"&gt;="&amp;B9,'Tippmix napló'!$C$7:$C$133,"&lt;"&amp;C9+1)</f>
        <v>0</v>
      </c>
      <c r="I9" s="37">
        <f>SUMIFS('Tippmix napló'!$D$7:$D$133,'Tippmix napló'!$C$7:$C$133,"&gt;="&amp;B9,'Tippmix napló'!$C$7:$C$133,"&lt;"&amp;C9+1,'Tippmix napló'!$G$7:$G$133,"Nyert")+SUMIFS('Tippmix napló'!$D$7:$D$133,'Tippmix napló'!$C$7:$C$133,"&gt;="&amp;B9,'Tippmix napló'!$C$7:$C$133,"&lt;"&amp;C9+1,'Tippmix napló'!$G$7:$G$133,"Veszített")</f>
        <v>0</v>
      </c>
      <c r="J9" s="36">
        <f t="shared" si="4"/>
        <v>0</v>
      </c>
    </row>
    <row r="10" hidden="1" spans="1:10" x14ac:dyDescent="0.25">
      <c r="A10" s="38" t="str">
        <f t="shared" si="0"/>
        <v>CW04</v>
      </c>
      <c r="B10" s="45">
        <f t="shared" si="1"/>
        <v>46041</v>
      </c>
      <c r="C10" s="45">
        <f t="shared" si="2"/>
        <v>46047</v>
      </c>
      <c r="D10" s="38">
        <f>COUNTIFS('Tippmix napló'!$C$7:$C$133,"&gt;="&amp;B10,'Tippmix napló'!$C$7:$C$133,"&lt;"&amp;C10+1,'Tippmix napló'!$G$7:$G$133,"Nyert")+COUNTIFS('Tippmix napló'!$C$7:$C$133,"&gt;="&amp;B10,'Tippmix napló'!$C$7:$C$133,"&lt;"&amp;C10+1,'Tippmix napló'!$G$7:$G$133,"Veszített")</f>
        <v>0</v>
      </c>
      <c r="E10" s="38">
        <f>COUNTIFS('Tippmix napló'!$C$7:$C$133,"&gt;="&amp;B10,'Tippmix napló'!$C$7:$C$133,"&lt;"&amp;C10+1,'Tippmix napló'!$G$7:$G$133,"Nyert")</f>
        <v>0</v>
      </c>
      <c r="F10" s="38">
        <f>COUNTIFS('Tippmix napló'!$C$7:$C$133,"&gt;="&amp;B10,'Tippmix napló'!$C$7:$C$133,"&lt;"&amp;C10+1,'Tippmix napló'!$G$7:$G$133,"Veszített")</f>
        <v>0</v>
      </c>
      <c r="G10" s="40">
        <f t="shared" si="3"/>
        <v>0</v>
      </c>
      <c r="H10" s="46">
        <f>SUMIFS('Tippmix napló'!$I$7:$I$133,'Tippmix napló'!$C$7:$C$133,"&gt;="&amp;B10,'Tippmix napló'!$C$7:$C$133,"&lt;"&amp;C10+1)</f>
        <v>0</v>
      </c>
      <c r="I10" s="41">
        <f>SUMIFS('Tippmix napló'!$D$7:$D$133,'Tippmix napló'!$C$7:$C$133,"&gt;="&amp;B10,'Tippmix napló'!$C$7:$C$133,"&lt;"&amp;C10+1,'Tippmix napló'!$G$7:$G$133,"Nyert")+SUMIFS('Tippmix napló'!$D$7:$D$133,'Tippmix napló'!$C$7:$C$133,"&gt;="&amp;B10,'Tippmix napló'!$C$7:$C$133,"&lt;"&amp;C10+1,'Tippmix napló'!$G$7:$G$133,"Veszített")</f>
        <v>0</v>
      </c>
      <c r="J10" s="40">
        <f t="shared" si="4"/>
        <v>0</v>
      </c>
    </row>
    <row r="11" hidden="1" spans="1:10" x14ac:dyDescent="0.25">
      <c r="A11" s="34" t="str">
        <f t="shared" si="0"/>
        <v>CW05</v>
      </c>
      <c r="B11" s="42">
        <f t="shared" si="1"/>
        <v>46048</v>
      </c>
      <c r="C11" s="42">
        <f t="shared" si="2"/>
        <v>46054</v>
      </c>
      <c r="D11" s="34">
        <f>COUNTIFS('Tippmix napló'!$C$7:$C$133,"&gt;="&amp;B11,'Tippmix napló'!$C$7:$C$133,"&lt;"&amp;C11+1,'Tippmix napló'!$G$7:$G$133,"Nyert")+COUNTIFS('Tippmix napló'!$C$7:$C$133,"&gt;="&amp;B11,'Tippmix napló'!$C$7:$C$133,"&lt;"&amp;C11+1,'Tippmix napló'!$G$7:$G$133,"Veszített")</f>
        <v>0</v>
      </c>
      <c r="E11" s="34">
        <f>COUNTIFS('Tippmix napló'!$C$7:$C$133,"&gt;="&amp;B11,'Tippmix napló'!$C$7:$C$133,"&lt;"&amp;C11+1,'Tippmix napló'!$G$7:$G$133,"Nyert")</f>
        <v>0</v>
      </c>
      <c r="F11" s="34">
        <f>COUNTIFS('Tippmix napló'!$C$7:$C$133,"&gt;="&amp;B11,'Tippmix napló'!$C$7:$C$133,"&lt;"&amp;C11+1,'Tippmix napló'!$G$7:$G$133,"Veszített")</f>
        <v>0</v>
      </c>
      <c r="G11" s="36">
        <f t="shared" si="3"/>
        <v>0</v>
      </c>
      <c r="H11" s="43">
        <f>SUMIFS('Tippmix napló'!$I$7:$I$133,'Tippmix napló'!$C$7:$C$133,"&gt;="&amp;B11,'Tippmix napló'!$C$7:$C$133,"&lt;"&amp;C11+1)</f>
        <v>0</v>
      </c>
      <c r="I11" s="37">
        <f>SUMIFS('Tippmix napló'!$D$7:$D$133,'Tippmix napló'!$C$7:$C$133,"&gt;="&amp;B11,'Tippmix napló'!$C$7:$C$133,"&lt;"&amp;C11+1,'Tippmix napló'!$G$7:$G$133,"Nyert")+SUMIFS('Tippmix napló'!$D$7:$D$133,'Tippmix napló'!$C$7:$C$133,"&gt;="&amp;B11,'Tippmix napló'!$C$7:$C$133,"&lt;"&amp;C11+1,'Tippmix napló'!$G$7:$G$133,"Veszített")</f>
        <v>0</v>
      </c>
      <c r="J11" s="36">
        <f t="shared" si="4"/>
        <v>0</v>
      </c>
    </row>
    <row r="12" hidden="1" spans="1:10" x14ac:dyDescent="0.25">
      <c r="A12" s="38" t="str">
        <f t="shared" si="0"/>
        <v>CW06</v>
      </c>
      <c r="B12" s="45">
        <f t="shared" si="1"/>
        <v>46055</v>
      </c>
      <c r="C12" s="45">
        <f t="shared" si="2"/>
        <v>46061</v>
      </c>
      <c r="D12" s="38">
        <f>COUNTIFS('Tippmix napló'!$C$7:$C$133,"&gt;="&amp;B12,'Tippmix napló'!$C$7:$C$133,"&lt;"&amp;C12+1,'Tippmix napló'!$G$7:$G$133,"Nyert")+COUNTIFS('Tippmix napló'!$C$7:$C$133,"&gt;="&amp;B12,'Tippmix napló'!$C$7:$C$133,"&lt;"&amp;C12+1,'Tippmix napló'!$G$7:$G$133,"Veszített")</f>
        <v>0</v>
      </c>
      <c r="E12" s="38">
        <f>COUNTIFS('Tippmix napló'!$C$7:$C$133,"&gt;="&amp;B12,'Tippmix napló'!$C$7:$C$133,"&lt;"&amp;C12+1,'Tippmix napló'!$G$7:$G$133,"Nyert")</f>
        <v>0</v>
      </c>
      <c r="F12" s="38">
        <f>COUNTIFS('Tippmix napló'!$C$7:$C$133,"&gt;="&amp;B12,'Tippmix napló'!$C$7:$C$133,"&lt;"&amp;C12+1,'Tippmix napló'!$G$7:$G$133,"Veszített")</f>
        <v>0</v>
      </c>
      <c r="G12" s="40">
        <f t="shared" si="3"/>
        <v>0</v>
      </c>
      <c r="H12" s="46">
        <f>SUMIFS('Tippmix napló'!$I$7:$I$133,'Tippmix napló'!$C$7:$C$133,"&gt;="&amp;B12,'Tippmix napló'!$C$7:$C$133,"&lt;"&amp;C12+1)</f>
        <v>0</v>
      </c>
      <c r="I12" s="41">
        <f>SUMIFS('Tippmix napló'!$D$7:$D$133,'Tippmix napló'!$C$7:$C$133,"&gt;="&amp;B12,'Tippmix napló'!$C$7:$C$133,"&lt;"&amp;C12+1,'Tippmix napló'!$G$7:$G$133,"Nyert")+SUMIFS('Tippmix napló'!$D$7:$D$133,'Tippmix napló'!$C$7:$C$133,"&gt;="&amp;B12,'Tippmix napló'!$C$7:$C$133,"&lt;"&amp;C12+1,'Tippmix napló'!$G$7:$G$133,"Veszített")</f>
        <v>0</v>
      </c>
      <c r="J12" s="40">
        <f t="shared" si="4"/>
        <v>0</v>
      </c>
    </row>
    <row r="13" hidden="1" spans="1:10" x14ac:dyDescent="0.25">
      <c r="A13" s="34" t="str">
        <f t="shared" si="0"/>
        <v>CW07</v>
      </c>
      <c r="B13" s="42">
        <f t="shared" si="1"/>
        <v>46062</v>
      </c>
      <c r="C13" s="42">
        <f t="shared" si="2"/>
        <v>46068</v>
      </c>
      <c r="D13" s="34">
        <f>COUNTIFS('Tippmix napló'!$C$7:$C$133,"&gt;="&amp;B13,'Tippmix napló'!$C$7:$C$133,"&lt;"&amp;C13+1,'Tippmix napló'!$G$7:$G$133,"Nyert")+COUNTIFS('Tippmix napló'!$C$7:$C$133,"&gt;="&amp;B13,'Tippmix napló'!$C$7:$C$133,"&lt;"&amp;C13+1,'Tippmix napló'!$G$7:$G$133,"Veszített")</f>
        <v>0</v>
      </c>
      <c r="E13" s="34">
        <f>COUNTIFS('Tippmix napló'!$C$7:$C$133,"&gt;="&amp;B13,'Tippmix napló'!$C$7:$C$133,"&lt;"&amp;C13+1,'Tippmix napló'!$G$7:$G$133,"Nyert")</f>
        <v>0</v>
      </c>
      <c r="F13" s="34">
        <f>COUNTIFS('Tippmix napló'!$C$7:$C$133,"&gt;="&amp;B13,'Tippmix napló'!$C$7:$C$133,"&lt;"&amp;C13+1,'Tippmix napló'!$G$7:$G$133,"Veszített")</f>
        <v>0</v>
      </c>
      <c r="G13" s="36">
        <f t="shared" si="3"/>
        <v>0</v>
      </c>
      <c r="H13" s="43">
        <f>SUMIFS('Tippmix napló'!$I$7:$I$133,'Tippmix napló'!$C$7:$C$133,"&gt;="&amp;B13,'Tippmix napló'!$C$7:$C$133,"&lt;"&amp;C13+1)</f>
        <v>0</v>
      </c>
      <c r="I13" s="37">
        <f>SUMIFS('Tippmix napló'!$D$7:$D$133,'Tippmix napló'!$C$7:$C$133,"&gt;="&amp;B13,'Tippmix napló'!$C$7:$C$133,"&lt;"&amp;C13+1,'Tippmix napló'!$G$7:$G$133,"Nyert")+SUMIFS('Tippmix napló'!$D$7:$D$133,'Tippmix napló'!$C$7:$C$133,"&gt;="&amp;B13,'Tippmix napló'!$C$7:$C$133,"&lt;"&amp;C13+1,'Tippmix napló'!$G$7:$G$133,"Veszített")</f>
        <v>0</v>
      </c>
      <c r="J13" s="36">
        <f t="shared" si="4"/>
        <v>0</v>
      </c>
    </row>
    <row r="14" hidden="1" spans="1:10" x14ac:dyDescent="0.25">
      <c r="A14" s="38" t="str">
        <f t="shared" si="0"/>
        <v>CW08</v>
      </c>
      <c r="B14" s="45">
        <f t="shared" si="1"/>
        <v>46069</v>
      </c>
      <c r="C14" s="45">
        <f t="shared" si="2"/>
        <v>46075</v>
      </c>
      <c r="D14" s="38">
        <f>COUNTIFS('Tippmix napló'!$C$7:$C$133,"&gt;="&amp;B14,'Tippmix napló'!$C$7:$C$133,"&lt;"&amp;C14+1,'Tippmix napló'!$G$7:$G$133,"Nyert")+COUNTIFS('Tippmix napló'!$C$7:$C$133,"&gt;="&amp;B14,'Tippmix napló'!$C$7:$C$133,"&lt;"&amp;C14+1,'Tippmix napló'!$G$7:$G$133,"Veszített")</f>
        <v>0</v>
      </c>
      <c r="E14" s="38">
        <f>COUNTIFS('Tippmix napló'!$C$7:$C$133,"&gt;="&amp;B14,'Tippmix napló'!$C$7:$C$133,"&lt;"&amp;C14+1,'Tippmix napló'!$G$7:$G$133,"Nyert")</f>
        <v>0</v>
      </c>
      <c r="F14" s="38">
        <f>COUNTIFS('Tippmix napló'!$C$7:$C$133,"&gt;="&amp;B14,'Tippmix napló'!$C$7:$C$133,"&lt;"&amp;C14+1,'Tippmix napló'!$G$7:$G$133,"Veszített")</f>
        <v>0</v>
      </c>
      <c r="G14" s="40">
        <f t="shared" si="3"/>
        <v>0</v>
      </c>
      <c r="H14" s="46">
        <f>SUMIFS('Tippmix napló'!$I$7:$I$133,'Tippmix napló'!$C$7:$C$133,"&gt;="&amp;B14,'Tippmix napló'!$C$7:$C$133,"&lt;"&amp;C14+1)</f>
        <v>0</v>
      </c>
      <c r="I14" s="41">
        <f>SUMIFS('Tippmix napló'!$D$7:$D$133,'Tippmix napló'!$C$7:$C$133,"&gt;="&amp;B14,'Tippmix napló'!$C$7:$C$133,"&lt;"&amp;C14+1,'Tippmix napló'!$G$7:$G$133,"Nyert")+SUMIFS('Tippmix napló'!$D$7:$D$133,'Tippmix napló'!$C$7:$C$133,"&gt;="&amp;B14,'Tippmix napló'!$C$7:$C$133,"&lt;"&amp;C14+1,'Tippmix napló'!$G$7:$G$133,"Veszített")</f>
        <v>0</v>
      </c>
      <c r="J14" s="40">
        <f t="shared" si="4"/>
        <v>0</v>
      </c>
    </row>
    <row r="15" hidden="1" spans="1:10" x14ac:dyDescent="0.25">
      <c r="A15" s="34" t="str">
        <f t="shared" si="0"/>
        <v>CW09</v>
      </c>
      <c r="B15" s="42">
        <f t="shared" si="1"/>
        <v>46076</v>
      </c>
      <c r="C15" s="42">
        <f t="shared" si="2"/>
        <v>46082</v>
      </c>
      <c r="D15" s="34">
        <f>COUNTIFS('Tippmix napló'!$C$7:$C$133,"&gt;="&amp;B15,'Tippmix napló'!$C$7:$C$133,"&lt;"&amp;C15+1,'Tippmix napló'!$G$7:$G$133,"Nyert")+COUNTIFS('Tippmix napló'!$C$7:$C$133,"&gt;="&amp;B15,'Tippmix napló'!$C$7:$C$133,"&lt;"&amp;C15+1,'Tippmix napló'!$G$7:$G$133,"Veszített")</f>
        <v>0</v>
      </c>
      <c r="E15" s="34">
        <f>COUNTIFS('Tippmix napló'!$C$7:$C$133,"&gt;="&amp;B15,'Tippmix napló'!$C$7:$C$133,"&lt;"&amp;C15+1,'Tippmix napló'!$G$7:$G$133,"Nyert")</f>
        <v>0</v>
      </c>
      <c r="F15" s="34">
        <f>COUNTIFS('Tippmix napló'!$C$7:$C$133,"&gt;="&amp;B15,'Tippmix napló'!$C$7:$C$133,"&lt;"&amp;C15+1,'Tippmix napló'!$G$7:$G$133,"Veszített")</f>
        <v>0</v>
      </c>
      <c r="G15" s="36">
        <f t="shared" si="3"/>
        <v>0</v>
      </c>
      <c r="H15" s="43">
        <f>SUMIFS('Tippmix napló'!$I$7:$I$133,'Tippmix napló'!$C$7:$C$133,"&gt;="&amp;B15,'Tippmix napló'!$C$7:$C$133,"&lt;"&amp;C15+1)</f>
        <v>0</v>
      </c>
      <c r="I15" s="37">
        <f>SUMIFS('Tippmix napló'!$D$7:$D$133,'Tippmix napló'!$C$7:$C$133,"&gt;="&amp;B15,'Tippmix napló'!$C$7:$C$133,"&lt;"&amp;C15+1,'Tippmix napló'!$G$7:$G$133,"Nyert")+SUMIFS('Tippmix napló'!$D$7:$D$133,'Tippmix napló'!$C$7:$C$133,"&gt;="&amp;B15,'Tippmix napló'!$C$7:$C$133,"&lt;"&amp;C15+1,'Tippmix napló'!$G$7:$G$133,"Veszített")</f>
        <v>0</v>
      </c>
      <c r="J15" s="36">
        <f t="shared" si="4"/>
        <v>0</v>
      </c>
    </row>
    <row r="16" hidden="1" spans="1:10" x14ac:dyDescent="0.25">
      <c r="A16" s="38" t="str">
        <f t="shared" si="0"/>
        <v>CW10</v>
      </c>
      <c r="B16" s="45">
        <f t="shared" si="1"/>
        <v>46083</v>
      </c>
      <c r="C16" s="45">
        <f t="shared" si="2"/>
        <v>46089</v>
      </c>
      <c r="D16" s="38">
        <f>COUNTIFS('Tippmix napló'!$C$7:$C$133,"&gt;="&amp;B16,'Tippmix napló'!$C$7:$C$133,"&lt;"&amp;C16+1,'Tippmix napló'!$G$7:$G$133,"Nyert")+COUNTIFS('Tippmix napló'!$C$7:$C$133,"&gt;="&amp;B16,'Tippmix napló'!$C$7:$C$133,"&lt;"&amp;C16+1,'Tippmix napló'!$G$7:$G$133,"Veszített")</f>
        <v>0</v>
      </c>
      <c r="E16" s="38">
        <f>COUNTIFS('Tippmix napló'!$C$7:$C$133,"&gt;="&amp;B16,'Tippmix napló'!$C$7:$C$133,"&lt;"&amp;C16+1,'Tippmix napló'!$G$7:$G$133,"Nyert")</f>
        <v>0</v>
      </c>
      <c r="F16" s="38">
        <f>COUNTIFS('Tippmix napló'!$C$7:$C$133,"&gt;="&amp;B16,'Tippmix napló'!$C$7:$C$133,"&lt;"&amp;C16+1,'Tippmix napló'!$G$7:$G$133,"Veszített")</f>
        <v>0</v>
      </c>
      <c r="G16" s="40">
        <f t="shared" si="3"/>
        <v>0</v>
      </c>
      <c r="H16" s="46">
        <f>SUMIFS('Tippmix napló'!$I$7:$I$133,'Tippmix napló'!$C$7:$C$133,"&gt;="&amp;B16,'Tippmix napló'!$C$7:$C$133,"&lt;"&amp;C16+1)</f>
        <v>0</v>
      </c>
      <c r="I16" s="41">
        <f>SUMIFS('Tippmix napló'!$D$7:$D$133,'Tippmix napló'!$C$7:$C$133,"&gt;="&amp;B16,'Tippmix napló'!$C$7:$C$133,"&lt;"&amp;C16+1,'Tippmix napló'!$G$7:$G$133,"Nyert")+SUMIFS('Tippmix napló'!$D$7:$D$133,'Tippmix napló'!$C$7:$C$133,"&gt;="&amp;B16,'Tippmix napló'!$C$7:$C$133,"&lt;"&amp;C16+1,'Tippmix napló'!$G$7:$G$133,"Veszített")</f>
        <v>0</v>
      </c>
      <c r="J16" s="40">
        <f t="shared" si="4"/>
        <v>0</v>
      </c>
    </row>
    <row r="17" hidden="1" spans="1:10" x14ac:dyDescent="0.25">
      <c r="A17" s="34" t="str">
        <f t="shared" si="0"/>
        <v>CW11</v>
      </c>
      <c r="B17" s="42">
        <f t="shared" si="1"/>
        <v>46090</v>
      </c>
      <c r="C17" s="42">
        <f t="shared" si="2"/>
        <v>46096</v>
      </c>
      <c r="D17" s="34">
        <f>COUNTIFS('Tippmix napló'!$C$7:$C$133,"&gt;="&amp;B17,'Tippmix napló'!$C$7:$C$133,"&lt;"&amp;C17+1,'Tippmix napló'!$G$7:$G$133,"Nyert")+COUNTIFS('Tippmix napló'!$C$7:$C$133,"&gt;="&amp;B17,'Tippmix napló'!$C$7:$C$133,"&lt;"&amp;C17+1,'Tippmix napló'!$G$7:$G$133,"Veszített")</f>
        <v>0</v>
      </c>
      <c r="E17" s="34">
        <f>COUNTIFS('Tippmix napló'!$C$7:$C$133,"&gt;="&amp;B17,'Tippmix napló'!$C$7:$C$133,"&lt;"&amp;C17+1,'Tippmix napló'!$G$7:$G$133,"Nyert")</f>
        <v>0</v>
      </c>
      <c r="F17" s="34">
        <f>COUNTIFS('Tippmix napló'!$C$7:$C$133,"&gt;="&amp;B17,'Tippmix napló'!$C$7:$C$133,"&lt;"&amp;C17+1,'Tippmix napló'!$G$7:$G$133,"Veszített")</f>
        <v>0</v>
      </c>
      <c r="G17" s="36">
        <f t="shared" si="3"/>
        <v>0</v>
      </c>
      <c r="H17" s="43">
        <f>SUMIFS('Tippmix napló'!$I$7:$I$133,'Tippmix napló'!$C$7:$C$133,"&gt;="&amp;B17,'Tippmix napló'!$C$7:$C$133,"&lt;"&amp;C17+1)</f>
        <v>0</v>
      </c>
      <c r="I17" s="37">
        <f>SUMIFS('Tippmix napló'!$D$7:$D$133,'Tippmix napló'!$C$7:$C$133,"&gt;="&amp;B17,'Tippmix napló'!$C$7:$C$133,"&lt;"&amp;C17+1,'Tippmix napló'!$G$7:$G$133,"Nyert")+SUMIFS('Tippmix napló'!$D$7:$D$133,'Tippmix napló'!$C$7:$C$133,"&gt;="&amp;B17,'Tippmix napló'!$C$7:$C$133,"&lt;"&amp;C17+1,'Tippmix napló'!$G$7:$G$133,"Veszített")</f>
        <v>0</v>
      </c>
      <c r="J17" s="36">
        <f t="shared" si="4"/>
        <v>0</v>
      </c>
    </row>
    <row r="18" hidden="1" spans="1:10" x14ac:dyDescent="0.25">
      <c r="A18" s="38" t="str">
        <f t="shared" si="0"/>
        <v>CW12</v>
      </c>
      <c r="B18" s="45">
        <f t="shared" si="1"/>
        <v>46097</v>
      </c>
      <c r="C18" s="45">
        <f t="shared" si="2"/>
        <v>46103</v>
      </c>
      <c r="D18" s="38">
        <f>COUNTIFS('Tippmix napló'!$C$7:$C$133,"&gt;="&amp;B18,'Tippmix napló'!$C$7:$C$133,"&lt;"&amp;C18+1,'Tippmix napló'!$G$7:$G$133,"Nyert")+COUNTIFS('Tippmix napló'!$C$7:$C$133,"&gt;="&amp;B18,'Tippmix napló'!$C$7:$C$133,"&lt;"&amp;C18+1,'Tippmix napló'!$G$7:$G$133,"Veszített")</f>
        <v>0</v>
      </c>
      <c r="E18" s="38">
        <f>COUNTIFS('Tippmix napló'!$C$7:$C$133,"&gt;="&amp;B18,'Tippmix napló'!$C$7:$C$133,"&lt;"&amp;C18+1,'Tippmix napló'!$G$7:$G$133,"Nyert")</f>
        <v>0</v>
      </c>
      <c r="F18" s="38">
        <f>COUNTIFS('Tippmix napló'!$C$7:$C$133,"&gt;="&amp;B18,'Tippmix napló'!$C$7:$C$133,"&lt;"&amp;C18+1,'Tippmix napló'!$G$7:$G$133,"Veszített")</f>
        <v>0</v>
      </c>
      <c r="G18" s="40">
        <f t="shared" si="3"/>
        <v>0</v>
      </c>
      <c r="H18" s="46">
        <f>SUMIFS('Tippmix napló'!$I$7:$I$133,'Tippmix napló'!$C$7:$C$133,"&gt;="&amp;B18,'Tippmix napló'!$C$7:$C$133,"&lt;"&amp;C18+1)</f>
        <v>0</v>
      </c>
      <c r="I18" s="41">
        <f>SUMIFS('Tippmix napló'!$D$7:$D$133,'Tippmix napló'!$C$7:$C$133,"&gt;="&amp;B18,'Tippmix napló'!$C$7:$C$133,"&lt;"&amp;C18+1,'Tippmix napló'!$G$7:$G$133,"Nyert")+SUMIFS('Tippmix napló'!$D$7:$D$133,'Tippmix napló'!$C$7:$C$133,"&gt;="&amp;B18,'Tippmix napló'!$C$7:$C$133,"&lt;"&amp;C18+1,'Tippmix napló'!$G$7:$G$133,"Veszített")</f>
        <v>0</v>
      </c>
      <c r="J18" s="40">
        <f t="shared" si="4"/>
        <v>0</v>
      </c>
    </row>
    <row r="19" hidden="1" spans="1:10" x14ac:dyDescent="0.25">
      <c r="A19" s="34" t="str">
        <f t="shared" si="0"/>
        <v>CW13</v>
      </c>
      <c r="B19" s="42">
        <f t="shared" si="1"/>
        <v>46104</v>
      </c>
      <c r="C19" s="42">
        <f t="shared" si="2"/>
        <v>46110</v>
      </c>
      <c r="D19" s="34">
        <f>COUNTIFS('Tippmix napló'!$C$7:$C$133,"&gt;="&amp;B19,'Tippmix napló'!$C$7:$C$133,"&lt;"&amp;C19+1,'Tippmix napló'!$G$7:$G$133,"Nyert")+COUNTIFS('Tippmix napló'!$C$7:$C$133,"&gt;="&amp;B19,'Tippmix napló'!$C$7:$C$133,"&lt;"&amp;C19+1,'Tippmix napló'!$G$7:$G$133,"Veszített")</f>
        <v>0</v>
      </c>
      <c r="E19" s="34">
        <f>COUNTIFS('Tippmix napló'!$C$7:$C$133,"&gt;="&amp;B19,'Tippmix napló'!$C$7:$C$133,"&lt;"&amp;C19+1,'Tippmix napló'!$G$7:$G$133,"Nyert")</f>
        <v>0</v>
      </c>
      <c r="F19" s="34">
        <f>COUNTIFS('Tippmix napló'!$C$7:$C$133,"&gt;="&amp;B19,'Tippmix napló'!$C$7:$C$133,"&lt;"&amp;C19+1,'Tippmix napló'!$G$7:$G$133,"Veszített")</f>
        <v>0</v>
      </c>
      <c r="G19" s="36">
        <f t="shared" si="3"/>
        <v>0</v>
      </c>
      <c r="H19" s="43">
        <f>SUMIFS('Tippmix napló'!$I$7:$I$133,'Tippmix napló'!$C$7:$C$133,"&gt;="&amp;B19,'Tippmix napló'!$C$7:$C$133,"&lt;"&amp;C19+1)</f>
        <v>0</v>
      </c>
      <c r="I19" s="37">
        <f>SUMIFS('Tippmix napló'!$D$7:$D$133,'Tippmix napló'!$C$7:$C$133,"&gt;="&amp;B19,'Tippmix napló'!$C$7:$C$133,"&lt;"&amp;C19+1,'Tippmix napló'!$G$7:$G$133,"Nyert")+SUMIFS('Tippmix napló'!$D$7:$D$133,'Tippmix napló'!$C$7:$C$133,"&gt;="&amp;B19,'Tippmix napló'!$C$7:$C$133,"&lt;"&amp;C19+1,'Tippmix napló'!$G$7:$G$133,"Veszített")</f>
        <v>0</v>
      </c>
      <c r="J19" s="36">
        <f t="shared" si="4"/>
        <v>0</v>
      </c>
    </row>
    <row r="20" hidden="1" spans="1:10" x14ac:dyDescent="0.25">
      <c r="A20" s="38" t="str">
        <f t="shared" si="0"/>
        <v>CW14</v>
      </c>
      <c r="B20" s="45">
        <f t="shared" si="1"/>
        <v>46111</v>
      </c>
      <c r="C20" s="45">
        <f t="shared" si="2"/>
        <v>46117</v>
      </c>
      <c r="D20" s="38">
        <f>COUNTIFS('Tippmix napló'!$C$7:$C$133,"&gt;="&amp;B20,'Tippmix napló'!$C$7:$C$133,"&lt;"&amp;C20+1,'Tippmix napló'!$G$7:$G$133,"Nyert")+COUNTIFS('Tippmix napló'!$C$7:$C$133,"&gt;="&amp;B20,'Tippmix napló'!$C$7:$C$133,"&lt;"&amp;C20+1,'Tippmix napló'!$G$7:$G$133,"Veszített")</f>
        <v>0</v>
      </c>
      <c r="E20" s="38">
        <f>COUNTIFS('Tippmix napló'!$C$7:$C$133,"&gt;="&amp;B20,'Tippmix napló'!$C$7:$C$133,"&lt;"&amp;C20+1,'Tippmix napló'!$G$7:$G$133,"Nyert")</f>
        <v>0</v>
      </c>
      <c r="F20" s="38">
        <f>COUNTIFS('Tippmix napló'!$C$7:$C$133,"&gt;="&amp;B20,'Tippmix napló'!$C$7:$C$133,"&lt;"&amp;C20+1,'Tippmix napló'!$G$7:$G$133,"Veszített")</f>
        <v>0</v>
      </c>
      <c r="G20" s="40">
        <f t="shared" si="3"/>
        <v>0</v>
      </c>
      <c r="H20" s="46">
        <f>SUMIFS('Tippmix napló'!$I$7:$I$133,'Tippmix napló'!$C$7:$C$133,"&gt;="&amp;B20,'Tippmix napló'!$C$7:$C$133,"&lt;"&amp;C20+1)</f>
        <v>0</v>
      </c>
      <c r="I20" s="41">
        <f>SUMIFS('Tippmix napló'!$D$7:$D$133,'Tippmix napló'!$C$7:$C$133,"&gt;="&amp;B20,'Tippmix napló'!$C$7:$C$133,"&lt;"&amp;C20+1,'Tippmix napló'!$G$7:$G$133,"Nyert")+SUMIFS('Tippmix napló'!$D$7:$D$133,'Tippmix napló'!$C$7:$C$133,"&gt;="&amp;B20,'Tippmix napló'!$C$7:$C$133,"&lt;"&amp;C20+1,'Tippmix napló'!$G$7:$G$133,"Veszített")</f>
        <v>0</v>
      </c>
      <c r="J20" s="40">
        <f t="shared" si="4"/>
        <v>0</v>
      </c>
    </row>
    <row r="21" hidden="1" spans="1:10" x14ac:dyDescent="0.25">
      <c r="A21" s="34" t="str">
        <f t="shared" si="0"/>
        <v>CW15</v>
      </c>
      <c r="B21" s="42">
        <f t="shared" si="1"/>
        <v>46118</v>
      </c>
      <c r="C21" s="42">
        <f t="shared" si="2"/>
        <v>46124</v>
      </c>
      <c r="D21" s="34">
        <f>COUNTIFS('Tippmix napló'!$C$7:$C$133,"&gt;="&amp;B21,'Tippmix napló'!$C$7:$C$133,"&lt;"&amp;C21+1,'Tippmix napló'!$G$7:$G$133,"Nyert")+COUNTIFS('Tippmix napló'!$C$7:$C$133,"&gt;="&amp;B21,'Tippmix napló'!$C$7:$C$133,"&lt;"&amp;C21+1,'Tippmix napló'!$G$7:$G$133,"Veszített")</f>
        <v>0</v>
      </c>
      <c r="E21" s="34">
        <f>COUNTIFS('Tippmix napló'!$C$7:$C$133,"&gt;="&amp;B21,'Tippmix napló'!$C$7:$C$133,"&lt;"&amp;C21+1,'Tippmix napló'!$G$7:$G$133,"Nyert")</f>
        <v>0</v>
      </c>
      <c r="F21" s="34">
        <f>COUNTIFS('Tippmix napló'!$C$7:$C$133,"&gt;="&amp;B21,'Tippmix napló'!$C$7:$C$133,"&lt;"&amp;C21+1,'Tippmix napló'!$G$7:$G$133,"Veszített")</f>
        <v>0</v>
      </c>
      <c r="G21" s="36">
        <f t="shared" si="3"/>
        <v>0</v>
      </c>
      <c r="H21" s="43">
        <f>SUMIFS('Tippmix napló'!$I$7:$I$133,'Tippmix napló'!$C$7:$C$133,"&gt;="&amp;B21,'Tippmix napló'!$C$7:$C$133,"&lt;"&amp;C21+1)</f>
        <v>0</v>
      </c>
      <c r="I21" s="37">
        <f>SUMIFS('Tippmix napló'!$D$7:$D$133,'Tippmix napló'!$C$7:$C$133,"&gt;="&amp;B21,'Tippmix napló'!$C$7:$C$133,"&lt;"&amp;C21+1,'Tippmix napló'!$G$7:$G$133,"Nyert")+SUMIFS('Tippmix napló'!$D$7:$D$133,'Tippmix napló'!$C$7:$C$133,"&gt;="&amp;B21,'Tippmix napló'!$C$7:$C$133,"&lt;"&amp;C21+1,'Tippmix napló'!$G$7:$G$133,"Veszített")</f>
        <v>0</v>
      </c>
      <c r="J21" s="36">
        <f t="shared" si="4"/>
        <v>0</v>
      </c>
    </row>
    <row r="22" hidden="1" spans="1:10" x14ac:dyDescent="0.25">
      <c r="A22" s="38" t="str">
        <f t="shared" si="0"/>
        <v>CW16</v>
      </c>
      <c r="B22" s="45">
        <f t="shared" si="1"/>
        <v>46125</v>
      </c>
      <c r="C22" s="45">
        <f t="shared" si="2"/>
        <v>46131</v>
      </c>
      <c r="D22" s="38">
        <f>COUNTIFS('Tippmix napló'!$C$7:$C$133,"&gt;="&amp;B22,'Tippmix napló'!$C$7:$C$133,"&lt;"&amp;C22+1,'Tippmix napló'!$G$7:$G$133,"Nyert")+COUNTIFS('Tippmix napló'!$C$7:$C$133,"&gt;="&amp;B22,'Tippmix napló'!$C$7:$C$133,"&lt;"&amp;C22+1,'Tippmix napló'!$G$7:$G$133,"Veszített")</f>
        <v>0</v>
      </c>
      <c r="E22" s="38">
        <f>COUNTIFS('Tippmix napló'!$C$7:$C$133,"&gt;="&amp;B22,'Tippmix napló'!$C$7:$C$133,"&lt;"&amp;C22+1,'Tippmix napló'!$G$7:$G$133,"Nyert")</f>
        <v>0</v>
      </c>
      <c r="F22" s="38">
        <f>COUNTIFS('Tippmix napló'!$C$7:$C$133,"&gt;="&amp;B22,'Tippmix napló'!$C$7:$C$133,"&lt;"&amp;C22+1,'Tippmix napló'!$G$7:$G$133,"Veszített")</f>
        <v>0</v>
      </c>
      <c r="G22" s="40">
        <f t="shared" si="3"/>
        <v>0</v>
      </c>
      <c r="H22" s="46">
        <f>SUMIFS('Tippmix napló'!$I$7:$I$133,'Tippmix napló'!$C$7:$C$133,"&gt;="&amp;B22,'Tippmix napló'!$C$7:$C$133,"&lt;"&amp;C22+1)</f>
        <v>0</v>
      </c>
      <c r="I22" s="41">
        <f>SUMIFS('Tippmix napló'!$D$7:$D$133,'Tippmix napló'!$C$7:$C$133,"&gt;="&amp;B22,'Tippmix napló'!$C$7:$C$133,"&lt;"&amp;C22+1,'Tippmix napló'!$G$7:$G$133,"Nyert")+SUMIFS('Tippmix napló'!$D$7:$D$133,'Tippmix napló'!$C$7:$C$133,"&gt;="&amp;B22,'Tippmix napló'!$C$7:$C$133,"&lt;"&amp;C22+1,'Tippmix napló'!$G$7:$G$133,"Veszített")</f>
        <v>0</v>
      </c>
      <c r="J22" s="40">
        <f t="shared" si="4"/>
        <v>0</v>
      </c>
    </row>
    <row r="23" hidden="1" spans="1:10" x14ac:dyDescent="0.25">
      <c r="A23" s="34" t="str">
        <f t="shared" si="0"/>
        <v>CW17</v>
      </c>
      <c r="B23" s="42">
        <f t="shared" si="1"/>
        <v>46132</v>
      </c>
      <c r="C23" s="42">
        <f t="shared" si="2"/>
        <v>46138</v>
      </c>
      <c r="D23" s="34">
        <f>COUNTIFS('Tippmix napló'!$C$7:$C$133,"&gt;="&amp;B23,'Tippmix napló'!$C$7:$C$133,"&lt;"&amp;C23+1,'Tippmix napló'!$G$7:$G$133,"Nyert")+COUNTIFS('Tippmix napló'!$C$7:$C$133,"&gt;="&amp;B23,'Tippmix napló'!$C$7:$C$133,"&lt;"&amp;C23+1,'Tippmix napló'!$G$7:$G$133,"Veszített")</f>
        <v>0</v>
      </c>
      <c r="E23" s="34">
        <f>COUNTIFS('Tippmix napló'!$C$7:$C$133,"&gt;="&amp;B23,'Tippmix napló'!$C$7:$C$133,"&lt;"&amp;C23+1,'Tippmix napló'!$G$7:$G$133,"Nyert")</f>
        <v>0</v>
      </c>
      <c r="F23" s="34">
        <f>COUNTIFS('Tippmix napló'!$C$7:$C$133,"&gt;="&amp;B23,'Tippmix napló'!$C$7:$C$133,"&lt;"&amp;C23+1,'Tippmix napló'!$G$7:$G$133,"Veszített")</f>
        <v>0</v>
      </c>
      <c r="G23" s="36">
        <f t="shared" si="3"/>
        <v>0</v>
      </c>
      <c r="H23" s="43">
        <f>SUMIFS('Tippmix napló'!$I$7:$I$133,'Tippmix napló'!$C$7:$C$133,"&gt;="&amp;B23,'Tippmix napló'!$C$7:$C$133,"&lt;"&amp;C23+1)</f>
        <v>0</v>
      </c>
      <c r="I23" s="37">
        <f>SUMIFS('Tippmix napló'!$D$7:$D$133,'Tippmix napló'!$C$7:$C$133,"&gt;="&amp;B23,'Tippmix napló'!$C$7:$C$133,"&lt;"&amp;C23+1,'Tippmix napló'!$G$7:$G$133,"Nyert")+SUMIFS('Tippmix napló'!$D$7:$D$133,'Tippmix napló'!$C$7:$C$133,"&gt;="&amp;B23,'Tippmix napló'!$C$7:$C$133,"&lt;"&amp;C23+1,'Tippmix napló'!$G$7:$G$133,"Veszített")</f>
        <v>0</v>
      </c>
      <c r="J23" s="36">
        <f t="shared" si="4"/>
        <v>0</v>
      </c>
    </row>
    <row r="24" hidden="1" spans="1:10" x14ac:dyDescent="0.25">
      <c r="A24" s="38" t="str">
        <f t="shared" si="0"/>
        <v>CW18</v>
      </c>
      <c r="B24" s="45">
        <f t="shared" si="1"/>
        <v>46139</v>
      </c>
      <c r="C24" s="45">
        <f t="shared" si="2"/>
        <v>46145</v>
      </c>
      <c r="D24" s="38">
        <f>COUNTIFS('Tippmix napló'!$C$7:$C$133,"&gt;="&amp;B24,'Tippmix napló'!$C$7:$C$133,"&lt;"&amp;C24+1,'Tippmix napló'!$G$7:$G$133,"Nyert")+COUNTIFS('Tippmix napló'!$C$7:$C$133,"&gt;="&amp;B24,'Tippmix napló'!$C$7:$C$133,"&lt;"&amp;C24+1,'Tippmix napló'!$G$7:$G$133,"Veszített")</f>
        <v>0</v>
      </c>
      <c r="E24" s="38">
        <f>COUNTIFS('Tippmix napló'!$C$7:$C$133,"&gt;="&amp;B24,'Tippmix napló'!$C$7:$C$133,"&lt;"&amp;C24+1,'Tippmix napló'!$G$7:$G$133,"Nyert")</f>
        <v>0</v>
      </c>
      <c r="F24" s="38">
        <f>COUNTIFS('Tippmix napló'!$C$7:$C$133,"&gt;="&amp;B24,'Tippmix napló'!$C$7:$C$133,"&lt;"&amp;C24+1,'Tippmix napló'!$G$7:$G$133,"Veszített")</f>
        <v>0</v>
      </c>
      <c r="G24" s="40">
        <f t="shared" si="3"/>
        <v>0</v>
      </c>
      <c r="H24" s="46">
        <f>SUMIFS('Tippmix napló'!$I$7:$I$133,'Tippmix napló'!$C$7:$C$133,"&gt;="&amp;B24,'Tippmix napló'!$C$7:$C$133,"&lt;"&amp;C24+1)</f>
        <v>0</v>
      </c>
      <c r="I24" s="41">
        <f>SUMIFS('Tippmix napló'!$D$7:$D$133,'Tippmix napló'!$C$7:$C$133,"&gt;="&amp;B24,'Tippmix napló'!$C$7:$C$133,"&lt;"&amp;C24+1,'Tippmix napló'!$G$7:$G$133,"Nyert")+SUMIFS('Tippmix napló'!$D$7:$D$133,'Tippmix napló'!$C$7:$C$133,"&gt;="&amp;B24,'Tippmix napló'!$C$7:$C$133,"&lt;"&amp;C24+1,'Tippmix napló'!$G$7:$G$133,"Veszített")</f>
        <v>0</v>
      </c>
      <c r="J24" s="40">
        <f t="shared" si="4"/>
        <v>0</v>
      </c>
    </row>
    <row r="25" hidden="1" spans="1:10" x14ac:dyDescent="0.25">
      <c r="A25" s="34" t="str">
        <f t="shared" si="0"/>
        <v>CW19</v>
      </c>
      <c r="B25" s="42">
        <f t="shared" si="1"/>
        <v>46146</v>
      </c>
      <c r="C25" s="42">
        <f t="shared" si="2"/>
        <v>46152</v>
      </c>
      <c r="D25" s="34">
        <f>COUNTIFS('Tippmix napló'!$C$7:$C$133,"&gt;="&amp;B25,'Tippmix napló'!$C$7:$C$133,"&lt;"&amp;C25+1,'Tippmix napló'!$G$7:$G$133,"Nyert")+COUNTIFS('Tippmix napló'!$C$7:$C$133,"&gt;="&amp;B25,'Tippmix napló'!$C$7:$C$133,"&lt;"&amp;C25+1,'Tippmix napló'!$G$7:$G$133,"Veszített")</f>
        <v>0</v>
      </c>
      <c r="E25" s="34">
        <f>COUNTIFS('Tippmix napló'!$C$7:$C$133,"&gt;="&amp;B25,'Tippmix napló'!$C$7:$C$133,"&lt;"&amp;C25+1,'Tippmix napló'!$G$7:$G$133,"Nyert")</f>
        <v>0</v>
      </c>
      <c r="F25" s="34">
        <f>COUNTIFS('Tippmix napló'!$C$7:$C$133,"&gt;="&amp;B25,'Tippmix napló'!$C$7:$C$133,"&lt;"&amp;C25+1,'Tippmix napló'!$G$7:$G$133,"Veszített")</f>
        <v>0</v>
      </c>
      <c r="G25" s="36">
        <f t="shared" si="3"/>
        <v>0</v>
      </c>
      <c r="H25" s="43">
        <f>SUMIFS('Tippmix napló'!$I$7:$I$133,'Tippmix napló'!$C$7:$C$133,"&gt;="&amp;B25,'Tippmix napló'!$C$7:$C$133,"&lt;"&amp;C25+1)</f>
        <v>0</v>
      </c>
      <c r="I25" s="37">
        <f>SUMIFS('Tippmix napló'!$D$7:$D$133,'Tippmix napló'!$C$7:$C$133,"&gt;="&amp;B25,'Tippmix napló'!$C$7:$C$133,"&lt;"&amp;C25+1,'Tippmix napló'!$G$7:$G$133,"Nyert")+SUMIFS('Tippmix napló'!$D$7:$D$133,'Tippmix napló'!$C$7:$C$133,"&gt;="&amp;B25,'Tippmix napló'!$C$7:$C$133,"&lt;"&amp;C25+1,'Tippmix napló'!$G$7:$G$133,"Veszített")</f>
        <v>0</v>
      </c>
      <c r="J25" s="36">
        <f t="shared" si="4"/>
        <v>0</v>
      </c>
    </row>
    <row r="26" hidden="1" spans="1:10" x14ac:dyDescent="0.25">
      <c r="A26" s="38" t="str">
        <f t="shared" si="0"/>
        <v>CW20</v>
      </c>
      <c r="B26" s="45">
        <f t="shared" si="1"/>
        <v>46153</v>
      </c>
      <c r="C26" s="45">
        <f t="shared" si="2"/>
        <v>46159</v>
      </c>
      <c r="D26" s="38">
        <f>COUNTIFS('Tippmix napló'!$C$7:$C$133,"&gt;="&amp;B26,'Tippmix napló'!$C$7:$C$133,"&lt;"&amp;C26+1,'Tippmix napló'!$G$7:$G$133,"Nyert")+COUNTIFS('Tippmix napló'!$C$7:$C$133,"&gt;="&amp;B26,'Tippmix napló'!$C$7:$C$133,"&lt;"&amp;C26+1,'Tippmix napló'!$G$7:$G$133,"Veszített")</f>
        <v>0</v>
      </c>
      <c r="E26" s="38">
        <f>COUNTIFS('Tippmix napló'!$C$7:$C$133,"&gt;="&amp;B26,'Tippmix napló'!$C$7:$C$133,"&lt;"&amp;C26+1,'Tippmix napló'!$G$7:$G$133,"Nyert")</f>
        <v>0</v>
      </c>
      <c r="F26" s="38">
        <f>COUNTIFS('Tippmix napló'!$C$7:$C$133,"&gt;="&amp;B26,'Tippmix napló'!$C$7:$C$133,"&lt;"&amp;C26+1,'Tippmix napló'!$G$7:$G$133,"Veszített")</f>
        <v>0</v>
      </c>
      <c r="G26" s="40">
        <f t="shared" si="3"/>
        <v>0</v>
      </c>
      <c r="H26" s="46">
        <f>SUMIFS('Tippmix napló'!$I$7:$I$133,'Tippmix napló'!$C$7:$C$133,"&gt;="&amp;B26,'Tippmix napló'!$C$7:$C$133,"&lt;"&amp;C26+1)</f>
        <v>0</v>
      </c>
      <c r="I26" s="41">
        <f>SUMIFS('Tippmix napló'!$D$7:$D$133,'Tippmix napló'!$C$7:$C$133,"&gt;="&amp;B26,'Tippmix napló'!$C$7:$C$133,"&lt;"&amp;C26+1,'Tippmix napló'!$G$7:$G$133,"Nyert")+SUMIFS('Tippmix napló'!$D$7:$D$133,'Tippmix napló'!$C$7:$C$133,"&gt;="&amp;B26,'Tippmix napló'!$C$7:$C$133,"&lt;"&amp;C26+1,'Tippmix napló'!$G$7:$G$133,"Veszített")</f>
        <v>0</v>
      </c>
      <c r="J26" s="40">
        <f t="shared" si="4"/>
        <v>0</v>
      </c>
    </row>
    <row r="27" hidden="1" spans="1:10" x14ac:dyDescent="0.25">
      <c r="A27" s="34" t="str">
        <f t="shared" si="0"/>
        <v>CW21</v>
      </c>
      <c r="B27" s="42">
        <f t="shared" si="1"/>
        <v>46160</v>
      </c>
      <c r="C27" s="42">
        <f t="shared" si="2"/>
        <v>46166</v>
      </c>
      <c r="D27" s="34">
        <f>COUNTIFS('Tippmix napló'!$C$7:$C$133,"&gt;="&amp;B27,'Tippmix napló'!$C$7:$C$133,"&lt;"&amp;C27+1,'Tippmix napló'!$G$7:$G$133,"Nyert")+COUNTIFS('Tippmix napló'!$C$7:$C$133,"&gt;="&amp;B27,'Tippmix napló'!$C$7:$C$133,"&lt;"&amp;C27+1,'Tippmix napló'!$G$7:$G$133,"Veszített")</f>
        <v>0</v>
      </c>
      <c r="E27" s="34">
        <f>COUNTIFS('Tippmix napló'!$C$7:$C$133,"&gt;="&amp;B27,'Tippmix napló'!$C$7:$C$133,"&lt;"&amp;C27+1,'Tippmix napló'!$G$7:$G$133,"Nyert")</f>
        <v>0</v>
      </c>
      <c r="F27" s="34">
        <f>COUNTIFS('Tippmix napló'!$C$7:$C$133,"&gt;="&amp;B27,'Tippmix napló'!$C$7:$C$133,"&lt;"&amp;C27+1,'Tippmix napló'!$G$7:$G$133,"Veszített")</f>
        <v>0</v>
      </c>
      <c r="G27" s="36">
        <f t="shared" si="3"/>
        <v>0</v>
      </c>
      <c r="H27" s="43">
        <f>SUMIFS('Tippmix napló'!$I$7:$I$133,'Tippmix napló'!$C$7:$C$133,"&gt;="&amp;B27,'Tippmix napló'!$C$7:$C$133,"&lt;"&amp;C27+1)</f>
        <v>0</v>
      </c>
      <c r="I27" s="37">
        <f>SUMIFS('Tippmix napló'!$D$7:$D$133,'Tippmix napló'!$C$7:$C$133,"&gt;="&amp;B27,'Tippmix napló'!$C$7:$C$133,"&lt;"&amp;C27+1,'Tippmix napló'!$G$7:$G$133,"Nyert")+SUMIFS('Tippmix napló'!$D$7:$D$133,'Tippmix napló'!$C$7:$C$133,"&gt;="&amp;B27,'Tippmix napló'!$C$7:$C$133,"&lt;"&amp;C27+1,'Tippmix napló'!$G$7:$G$133,"Veszített")</f>
        <v>0</v>
      </c>
      <c r="J27" s="36">
        <f t="shared" si="4"/>
        <v>0</v>
      </c>
    </row>
    <row r="28" hidden="1" spans="1:10" x14ac:dyDescent="0.25">
      <c r="A28" s="38" t="str">
        <f t="shared" si="0"/>
        <v>CW22</v>
      </c>
      <c r="B28" s="45">
        <f t="shared" si="1"/>
        <v>46167</v>
      </c>
      <c r="C28" s="45">
        <f t="shared" si="2"/>
        <v>46173</v>
      </c>
      <c r="D28" s="38">
        <f>COUNTIFS('Tippmix napló'!$C$7:$C$133,"&gt;="&amp;B28,'Tippmix napló'!$C$7:$C$133,"&lt;"&amp;C28+1,'Tippmix napló'!$G$7:$G$133,"Nyert")+COUNTIFS('Tippmix napló'!$C$7:$C$133,"&gt;="&amp;B28,'Tippmix napló'!$C$7:$C$133,"&lt;"&amp;C28+1,'Tippmix napló'!$G$7:$G$133,"Veszített")</f>
        <v>0</v>
      </c>
      <c r="E28" s="38">
        <f>COUNTIFS('Tippmix napló'!$C$7:$C$133,"&gt;="&amp;B28,'Tippmix napló'!$C$7:$C$133,"&lt;"&amp;C28+1,'Tippmix napló'!$G$7:$G$133,"Nyert")</f>
        <v>0</v>
      </c>
      <c r="F28" s="38">
        <f>COUNTIFS('Tippmix napló'!$C$7:$C$133,"&gt;="&amp;B28,'Tippmix napló'!$C$7:$C$133,"&lt;"&amp;C28+1,'Tippmix napló'!$G$7:$G$133,"Veszített")</f>
        <v>0</v>
      </c>
      <c r="G28" s="40">
        <f t="shared" si="3"/>
        <v>0</v>
      </c>
      <c r="H28" s="46">
        <f>SUMIFS('Tippmix napló'!$I$7:$I$133,'Tippmix napló'!$C$7:$C$133,"&gt;="&amp;B28,'Tippmix napló'!$C$7:$C$133,"&lt;"&amp;C28+1)</f>
        <v>0</v>
      </c>
      <c r="I28" s="41">
        <f>SUMIFS('Tippmix napló'!$D$7:$D$133,'Tippmix napló'!$C$7:$C$133,"&gt;="&amp;B28,'Tippmix napló'!$C$7:$C$133,"&lt;"&amp;C28+1,'Tippmix napló'!$G$7:$G$133,"Nyert")+SUMIFS('Tippmix napló'!$D$7:$D$133,'Tippmix napló'!$C$7:$C$133,"&gt;="&amp;B28,'Tippmix napló'!$C$7:$C$133,"&lt;"&amp;C28+1,'Tippmix napló'!$G$7:$G$133,"Veszített")</f>
        <v>0</v>
      </c>
      <c r="J28" s="40">
        <f t="shared" si="4"/>
        <v>0</v>
      </c>
    </row>
    <row r="29" hidden="1" spans="1:10" x14ac:dyDescent="0.25">
      <c r="A29" s="34" t="str">
        <f t="shared" si="0"/>
        <v>CW23</v>
      </c>
      <c r="B29" s="42">
        <f t="shared" si="1"/>
        <v>46174</v>
      </c>
      <c r="C29" s="42">
        <f t="shared" si="2"/>
        <v>46180</v>
      </c>
      <c r="D29" s="34">
        <f>COUNTIFS('Tippmix napló'!$C$7:$C$133,"&gt;="&amp;B29,'Tippmix napló'!$C$7:$C$133,"&lt;"&amp;C29+1,'Tippmix napló'!$G$7:$G$133,"Nyert")+COUNTIFS('Tippmix napló'!$C$7:$C$133,"&gt;="&amp;B29,'Tippmix napló'!$C$7:$C$133,"&lt;"&amp;C29+1,'Tippmix napló'!$G$7:$G$133,"Veszített")</f>
        <v>0</v>
      </c>
      <c r="E29" s="34">
        <f>COUNTIFS('Tippmix napló'!$C$7:$C$133,"&gt;="&amp;B29,'Tippmix napló'!$C$7:$C$133,"&lt;"&amp;C29+1,'Tippmix napló'!$G$7:$G$133,"Nyert")</f>
        <v>0</v>
      </c>
      <c r="F29" s="34">
        <f>COUNTIFS('Tippmix napló'!$C$7:$C$133,"&gt;="&amp;B29,'Tippmix napló'!$C$7:$C$133,"&lt;"&amp;C29+1,'Tippmix napló'!$G$7:$G$133,"Veszített")</f>
        <v>0</v>
      </c>
      <c r="G29" s="36">
        <f t="shared" si="3"/>
        <v>0</v>
      </c>
      <c r="H29" s="43">
        <f>SUMIFS('Tippmix napló'!$I$7:$I$133,'Tippmix napló'!$C$7:$C$133,"&gt;="&amp;B29,'Tippmix napló'!$C$7:$C$133,"&lt;"&amp;C29+1)</f>
        <v>0</v>
      </c>
      <c r="I29" s="37">
        <f>SUMIFS('Tippmix napló'!$D$7:$D$133,'Tippmix napló'!$C$7:$C$133,"&gt;="&amp;B29,'Tippmix napló'!$C$7:$C$133,"&lt;"&amp;C29+1,'Tippmix napló'!$G$7:$G$133,"Nyert")+SUMIFS('Tippmix napló'!$D$7:$D$133,'Tippmix napló'!$C$7:$C$133,"&gt;="&amp;B29,'Tippmix napló'!$C$7:$C$133,"&lt;"&amp;C29+1,'Tippmix napló'!$G$7:$G$133,"Veszített")</f>
        <v>0</v>
      </c>
      <c r="J29" s="36">
        <f t="shared" si="4"/>
        <v>0</v>
      </c>
    </row>
    <row r="30" hidden="1" spans="1:10" x14ac:dyDescent="0.25">
      <c r="A30" s="38" t="str">
        <f t="shared" si="0"/>
        <v>CW24</v>
      </c>
      <c r="B30" s="45">
        <f t="shared" si="1"/>
        <v>46181</v>
      </c>
      <c r="C30" s="45">
        <f t="shared" si="2"/>
        <v>46187</v>
      </c>
      <c r="D30" s="38">
        <f>COUNTIFS('Tippmix napló'!$C$7:$C$133,"&gt;="&amp;B30,'Tippmix napló'!$C$7:$C$133,"&lt;"&amp;C30+1,'Tippmix napló'!$G$7:$G$133,"Nyert")+COUNTIFS('Tippmix napló'!$C$7:$C$133,"&gt;="&amp;B30,'Tippmix napló'!$C$7:$C$133,"&lt;"&amp;C30+1,'Tippmix napló'!$G$7:$G$133,"Veszített")</f>
        <v>0</v>
      </c>
      <c r="E30" s="38">
        <f>COUNTIFS('Tippmix napló'!$C$7:$C$133,"&gt;="&amp;B30,'Tippmix napló'!$C$7:$C$133,"&lt;"&amp;C30+1,'Tippmix napló'!$G$7:$G$133,"Nyert")</f>
        <v>0</v>
      </c>
      <c r="F30" s="38">
        <f>COUNTIFS('Tippmix napló'!$C$7:$C$133,"&gt;="&amp;B30,'Tippmix napló'!$C$7:$C$133,"&lt;"&amp;C30+1,'Tippmix napló'!$G$7:$G$133,"Veszített")</f>
        <v>0</v>
      </c>
      <c r="G30" s="40">
        <f t="shared" si="3"/>
        <v>0</v>
      </c>
      <c r="H30" s="46">
        <f>SUMIFS('Tippmix napló'!$I$7:$I$133,'Tippmix napló'!$C$7:$C$133,"&gt;="&amp;B30,'Tippmix napló'!$C$7:$C$133,"&lt;"&amp;C30+1)</f>
        <v>0</v>
      </c>
      <c r="I30" s="41">
        <f>SUMIFS('Tippmix napló'!$D$7:$D$133,'Tippmix napló'!$C$7:$C$133,"&gt;="&amp;B30,'Tippmix napló'!$C$7:$C$133,"&lt;"&amp;C30+1,'Tippmix napló'!$G$7:$G$133,"Nyert")+SUMIFS('Tippmix napló'!$D$7:$D$133,'Tippmix napló'!$C$7:$C$133,"&gt;="&amp;B30,'Tippmix napló'!$C$7:$C$133,"&lt;"&amp;C30+1,'Tippmix napló'!$G$7:$G$133,"Veszített")</f>
        <v>0</v>
      </c>
      <c r="J30" s="40">
        <f t="shared" si="4"/>
        <v>0</v>
      </c>
    </row>
    <row r="31" hidden="1" spans="1:10" x14ac:dyDescent="0.25">
      <c r="A31" s="34" t="str">
        <f t="shared" si="0"/>
        <v>CW25</v>
      </c>
      <c r="B31" s="42">
        <f t="shared" si="1"/>
        <v>46188</v>
      </c>
      <c r="C31" s="42">
        <f t="shared" si="2"/>
        <v>46194</v>
      </c>
      <c r="D31" s="34">
        <f>COUNTIFS('Tippmix napló'!$C$7:$C$133,"&gt;="&amp;B31,'Tippmix napló'!$C$7:$C$133,"&lt;"&amp;C31+1,'Tippmix napló'!$G$7:$G$133,"Nyert")+COUNTIFS('Tippmix napló'!$C$7:$C$133,"&gt;="&amp;B31,'Tippmix napló'!$C$7:$C$133,"&lt;"&amp;C31+1,'Tippmix napló'!$G$7:$G$133,"Veszített")</f>
        <v>0</v>
      </c>
      <c r="E31" s="34">
        <f>COUNTIFS('Tippmix napló'!$C$7:$C$133,"&gt;="&amp;B31,'Tippmix napló'!$C$7:$C$133,"&lt;"&amp;C31+1,'Tippmix napló'!$G$7:$G$133,"Nyert")</f>
        <v>0</v>
      </c>
      <c r="F31" s="34">
        <f>COUNTIFS('Tippmix napló'!$C$7:$C$133,"&gt;="&amp;B31,'Tippmix napló'!$C$7:$C$133,"&lt;"&amp;C31+1,'Tippmix napló'!$G$7:$G$133,"Veszített")</f>
        <v>0</v>
      </c>
      <c r="G31" s="36">
        <f t="shared" si="3"/>
        <v>0</v>
      </c>
      <c r="H31" s="43">
        <f>SUMIFS('Tippmix napló'!$I$7:$I$133,'Tippmix napló'!$C$7:$C$133,"&gt;="&amp;B31,'Tippmix napló'!$C$7:$C$133,"&lt;"&amp;C31+1)</f>
        <v>0</v>
      </c>
      <c r="I31" s="37">
        <f>SUMIFS('Tippmix napló'!$D$7:$D$133,'Tippmix napló'!$C$7:$C$133,"&gt;="&amp;B31,'Tippmix napló'!$C$7:$C$133,"&lt;"&amp;C31+1,'Tippmix napló'!$G$7:$G$133,"Nyert")+SUMIFS('Tippmix napló'!$D$7:$D$133,'Tippmix napló'!$C$7:$C$133,"&gt;="&amp;B31,'Tippmix napló'!$C$7:$C$133,"&lt;"&amp;C31+1,'Tippmix napló'!$G$7:$G$133,"Veszített")</f>
        <v>0</v>
      </c>
      <c r="J31" s="36">
        <f t="shared" si="4"/>
        <v>0</v>
      </c>
    </row>
    <row r="32" hidden="1" spans="1:10" x14ac:dyDescent="0.25">
      <c r="A32" s="38" t="str">
        <f t="shared" si="0"/>
        <v>CW26</v>
      </c>
      <c r="B32" s="45">
        <f t="shared" si="1"/>
        <v>46195</v>
      </c>
      <c r="C32" s="45">
        <f t="shared" si="2"/>
        <v>46201</v>
      </c>
      <c r="D32" s="38">
        <f>COUNTIFS('Tippmix napló'!$C$7:$C$133,"&gt;="&amp;B32,'Tippmix napló'!$C$7:$C$133,"&lt;"&amp;C32+1,'Tippmix napló'!$G$7:$G$133,"Nyert")+COUNTIFS('Tippmix napló'!$C$7:$C$133,"&gt;="&amp;B32,'Tippmix napló'!$C$7:$C$133,"&lt;"&amp;C32+1,'Tippmix napló'!$G$7:$G$133,"Veszített")</f>
        <v>0</v>
      </c>
      <c r="E32" s="38">
        <f>COUNTIFS('Tippmix napló'!$C$7:$C$133,"&gt;="&amp;B32,'Tippmix napló'!$C$7:$C$133,"&lt;"&amp;C32+1,'Tippmix napló'!$G$7:$G$133,"Nyert")</f>
        <v>0</v>
      </c>
      <c r="F32" s="38">
        <f>COUNTIFS('Tippmix napló'!$C$7:$C$133,"&gt;="&amp;B32,'Tippmix napló'!$C$7:$C$133,"&lt;"&amp;C32+1,'Tippmix napló'!$G$7:$G$133,"Veszített")</f>
        <v>0</v>
      </c>
      <c r="G32" s="40">
        <f t="shared" si="3"/>
        <v>0</v>
      </c>
      <c r="H32" s="46">
        <f>SUMIFS('Tippmix napló'!$I$7:$I$133,'Tippmix napló'!$C$7:$C$133,"&gt;="&amp;B32,'Tippmix napló'!$C$7:$C$133,"&lt;"&amp;C32+1)</f>
        <v>0</v>
      </c>
      <c r="I32" s="41">
        <f>SUMIFS('Tippmix napló'!$D$7:$D$133,'Tippmix napló'!$C$7:$C$133,"&gt;="&amp;B32,'Tippmix napló'!$C$7:$C$133,"&lt;"&amp;C32+1,'Tippmix napló'!$G$7:$G$133,"Nyert")+SUMIFS('Tippmix napló'!$D$7:$D$133,'Tippmix napló'!$C$7:$C$133,"&gt;="&amp;B32,'Tippmix napló'!$C$7:$C$133,"&lt;"&amp;C32+1,'Tippmix napló'!$G$7:$G$133,"Veszített")</f>
        <v>0</v>
      </c>
      <c r="J32" s="40">
        <f t="shared" si="4"/>
        <v>0</v>
      </c>
    </row>
    <row r="33" hidden="1" spans="1:10" x14ac:dyDescent="0.25">
      <c r="A33" s="34" t="str">
        <f t="shared" si="0"/>
        <v>CW27</v>
      </c>
      <c r="B33" s="42">
        <f t="shared" si="1"/>
        <v>46202</v>
      </c>
      <c r="C33" s="42">
        <f t="shared" si="2"/>
        <v>46208</v>
      </c>
      <c r="D33" s="34">
        <f>COUNTIFS('Tippmix napló'!$C$7:$C$133,"&gt;="&amp;B33,'Tippmix napló'!$C$7:$C$133,"&lt;"&amp;C33+1,'Tippmix napló'!$G$7:$G$133,"Nyert")+COUNTIFS('Tippmix napló'!$C$7:$C$133,"&gt;="&amp;B33,'Tippmix napló'!$C$7:$C$133,"&lt;"&amp;C33+1,'Tippmix napló'!$G$7:$G$133,"Veszített")</f>
        <v>0</v>
      </c>
      <c r="E33" s="34">
        <f>COUNTIFS('Tippmix napló'!$C$7:$C$133,"&gt;="&amp;B33,'Tippmix napló'!$C$7:$C$133,"&lt;"&amp;C33+1,'Tippmix napló'!$G$7:$G$133,"Nyert")</f>
        <v>0</v>
      </c>
      <c r="F33" s="34">
        <f>COUNTIFS('Tippmix napló'!$C$7:$C$133,"&gt;="&amp;B33,'Tippmix napló'!$C$7:$C$133,"&lt;"&amp;C33+1,'Tippmix napló'!$G$7:$G$133,"Veszített")</f>
        <v>0</v>
      </c>
      <c r="G33" s="36">
        <f t="shared" si="3"/>
        <v>0</v>
      </c>
      <c r="H33" s="43">
        <f>SUMIFS('Tippmix napló'!$I$7:$I$133,'Tippmix napló'!$C$7:$C$133,"&gt;="&amp;B33,'Tippmix napló'!$C$7:$C$133,"&lt;"&amp;C33+1)</f>
        <v>0</v>
      </c>
      <c r="I33" s="37">
        <f>SUMIFS('Tippmix napló'!$D$7:$D$133,'Tippmix napló'!$C$7:$C$133,"&gt;="&amp;B33,'Tippmix napló'!$C$7:$C$133,"&lt;"&amp;C33+1,'Tippmix napló'!$G$7:$G$133,"Nyert")+SUMIFS('Tippmix napló'!$D$7:$D$133,'Tippmix napló'!$C$7:$C$133,"&gt;="&amp;B33,'Tippmix napló'!$C$7:$C$133,"&lt;"&amp;C33+1,'Tippmix napló'!$G$7:$G$133,"Veszített")</f>
        <v>0</v>
      </c>
      <c r="J33" s="36">
        <f t="shared" si="4"/>
        <v>0</v>
      </c>
    </row>
    <row r="34" hidden="1" spans="1:10" x14ac:dyDescent="0.25">
      <c r="A34" s="38" t="str">
        <f t="shared" si="0"/>
        <v>CW28</v>
      </c>
      <c r="B34" s="45">
        <f t="shared" si="1"/>
        <v>46209</v>
      </c>
      <c r="C34" s="45">
        <f t="shared" si="2"/>
        <v>46215</v>
      </c>
      <c r="D34" s="38">
        <f>COUNTIFS('Tippmix napló'!$C$7:$C$133,"&gt;="&amp;B34,'Tippmix napló'!$C$7:$C$133,"&lt;"&amp;C34+1,'Tippmix napló'!$G$7:$G$133,"Nyert")+COUNTIFS('Tippmix napló'!$C$7:$C$133,"&gt;="&amp;B34,'Tippmix napló'!$C$7:$C$133,"&lt;"&amp;C34+1,'Tippmix napló'!$G$7:$G$133,"Veszített")</f>
        <v>0</v>
      </c>
      <c r="E34" s="38">
        <f>COUNTIFS('Tippmix napló'!$C$7:$C$133,"&gt;="&amp;B34,'Tippmix napló'!$C$7:$C$133,"&lt;"&amp;C34+1,'Tippmix napló'!$G$7:$G$133,"Nyert")</f>
        <v>0</v>
      </c>
      <c r="F34" s="38">
        <f>COUNTIFS('Tippmix napló'!$C$7:$C$133,"&gt;="&amp;B34,'Tippmix napló'!$C$7:$C$133,"&lt;"&amp;C34+1,'Tippmix napló'!$G$7:$G$133,"Veszített")</f>
        <v>0</v>
      </c>
      <c r="G34" s="40">
        <f t="shared" si="3"/>
        <v>0</v>
      </c>
      <c r="H34" s="46">
        <f>SUMIFS('Tippmix napló'!$I$7:$I$133,'Tippmix napló'!$C$7:$C$133,"&gt;="&amp;B34,'Tippmix napló'!$C$7:$C$133,"&lt;"&amp;C34+1)</f>
        <v>0</v>
      </c>
      <c r="I34" s="41">
        <f>SUMIFS('Tippmix napló'!$D$7:$D$133,'Tippmix napló'!$C$7:$C$133,"&gt;="&amp;B34,'Tippmix napló'!$C$7:$C$133,"&lt;"&amp;C34+1,'Tippmix napló'!$G$7:$G$133,"Nyert")+SUMIFS('Tippmix napló'!$D$7:$D$133,'Tippmix napló'!$C$7:$C$133,"&gt;="&amp;B34,'Tippmix napló'!$C$7:$C$133,"&lt;"&amp;C34+1,'Tippmix napló'!$G$7:$G$133,"Veszített")</f>
        <v>0</v>
      </c>
      <c r="J34" s="40">
        <f t="shared" si="4"/>
        <v>0</v>
      </c>
    </row>
    <row r="35" hidden="1" spans="1:10" x14ac:dyDescent="0.25">
      <c r="A35" s="34" t="str">
        <f t="shared" si="0"/>
        <v>CW29</v>
      </c>
      <c r="B35" s="42">
        <f t="shared" si="1"/>
        <v>46216</v>
      </c>
      <c r="C35" s="42">
        <f t="shared" si="2"/>
        <v>46222</v>
      </c>
      <c r="D35" s="34">
        <f>COUNTIFS('Tippmix napló'!$C$7:$C$133,"&gt;="&amp;B35,'Tippmix napló'!$C$7:$C$133,"&lt;"&amp;C35+1,'Tippmix napló'!$G$7:$G$133,"Nyert")+COUNTIFS('Tippmix napló'!$C$7:$C$133,"&gt;="&amp;B35,'Tippmix napló'!$C$7:$C$133,"&lt;"&amp;C35+1,'Tippmix napló'!$G$7:$G$133,"Veszített")</f>
        <v>0</v>
      </c>
      <c r="E35" s="34">
        <f>COUNTIFS('Tippmix napló'!$C$7:$C$133,"&gt;="&amp;B35,'Tippmix napló'!$C$7:$C$133,"&lt;"&amp;C35+1,'Tippmix napló'!$G$7:$G$133,"Nyert")</f>
        <v>0</v>
      </c>
      <c r="F35" s="34">
        <f>COUNTIFS('Tippmix napló'!$C$7:$C$133,"&gt;="&amp;B35,'Tippmix napló'!$C$7:$C$133,"&lt;"&amp;C35+1,'Tippmix napló'!$G$7:$G$133,"Veszített")</f>
        <v>0</v>
      </c>
      <c r="G35" s="36">
        <f t="shared" si="3"/>
        <v>0</v>
      </c>
      <c r="H35" s="43">
        <f>SUMIFS('Tippmix napló'!$I$7:$I$133,'Tippmix napló'!$C$7:$C$133,"&gt;="&amp;B35,'Tippmix napló'!$C$7:$C$133,"&lt;"&amp;C35+1)</f>
        <v>0</v>
      </c>
      <c r="I35" s="37">
        <f>SUMIFS('Tippmix napló'!$D$7:$D$133,'Tippmix napló'!$C$7:$C$133,"&gt;="&amp;B35,'Tippmix napló'!$C$7:$C$133,"&lt;"&amp;C35+1,'Tippmix napló'!$G$7:$G$133,"Nyert")+SUMIFS('Tippmix napló'!$D$7:$D$133,'Tippmix napló'!$C$7:$C$133,"&gt;="&amp;B35,'Tippmix napló'!$C$7:$C$133,"&lt;"&amp;C35+1,'Tippmix napló'!$G$7:$G$133,"Veszített")</f>
        <v>0</v>
      </c>
      <c r="J35" s="36">
        <f t="shared" si="4"/>
        <v>0</v>
      </c>
    </row>
    <row r="36" hidden="1" spans="1:10" x14ac:dyDescent="0.25">
      <c r="A36" s="38" t="str">
        <f t="shared" si="0"/>
        <v>CW30</v>
      </c>
      <c r="B36" s="45">
        <f t="shared" si="1"/>
        <v>46223</v>
      </c>
      <c r="C36" s="45">
        <f t="shared" si="2"/>
        <v>46229</v>
      </c>
      <c r="D36" s="38">
        <f>COUNTIFS('Tippmix napló'!$C$7:$C$133,"&gt;="&amp;B36,'Tippmix napló'!$C$7:$C$133,"&lt;"&amp;C36+1,'Tippmix napló'!$G$7:$G$133,"Nyert")+COUNTIFS('Tippmix napló'!$C$7:$C$133,"&gt;="&amp;B36,'Tippmix napló'!$C$7:$C$133,"&lt;"&amp;C36+1,'Tippmix napló'!$G$7:$G$133,"Veszített")</f>
        <v>0</v>
      </c>
      <c r="E36" s="38">
        <f>COUNTIFS('Tippmix napló'!$C$7:$C$133,"&gt;="&amp;B36,'Tippmix napló'!$C$7:$C$133,"&lt;"&amp;C36+1,'Tippmix napló'!$G$7:$G$133,"Nyert")</f>
        <v>0</v>
      </c>
      <c r="F36" s="38">
        <f>COUNTIFS('Tippmix napló'!$C$7:$C$133,"&gt;="&amp;B36,'Tippmix napló'!$C$7:$C$133,"&lt;"&amp;C36+1,'Tippmix napló'!$G$7:$G$133,"Veszített")</f>
        <v>0</v>
      </c>
      <c r="G36" s="40">
        <f t="shared" si="3"/>
        <v>0</v>
      </c>
      <c r="H36" s="46">
        <f>SUMIFS('Tippmix napló'!$I$7:$I$133,'Tippmix napló'!$C$7:$C$133,"&gt;="&amp;B36,'Tippmix napló'!$C$7:$C$133,"&lt;"&amp;C36+1)</f>
        <v>0</v>
      </c>
      <c r="I36" s="41">
        <f>SUMIFS('Tippmix napló'!$D$7:$D$133,'Tippmix napló'!$C$7:$C$133,"&gt;="&amp;B36,'Tippmix napló'!$C$7:$C$133,"&lt;"&amp;C36+1,'Tippmix napló'!$G$7:$G$133,"Nyert")+SUMIFS('Tippmix napló'!$D$7:$D$133,'Tippmix napló'!$C$7:$C$133,"&gt;="&amp;B36,'Tippmix napló'!$C$7:$C$133,"&lt;"&amp;C36+1,'Tippmix napló'!$G$7:$G$133,"Veszített")</f>
        <v>0</v>
      </c>
      <c r="J36" s="40">
        <f t="shared" si="4"/>
        <v>0</v>
      </c>
    </row>
    <row r="37" hidden="1" spans="1:10" x14ac:dyDescent="0.25">
      <c r="A37" s="34" t="str">
        <f t="shared" si="0"/>
        <v>CW31</v>
      </c>
      <c r="B37" s="42">
        <f t="shared" si="1"/>
        <v>46230</v>
      </c>
      <c r="C37" s="42">
        <f t="shared" si="2"/>
        <v>46236</v>
      </c>
      <c r="D37" s="34">
        <f>COUNTIFS('Tippmix napló'!$C$7:$C$133,"&gt;="&amp;B37,'Tippmix napló'!$C$7:$C$133,"&lt;"&amp;C37+1,'Tippmix napló'!$G$7:$G$133,"Nyert")+COUNTIFS('Tippmix napló'!$C$7:$C$133,"&gt;="&amp;B37,'Tippmix napló'!$C$7:$C$133,"&lt;"&amp;C37+1,'Tippmix napló'!$G$7:$G$133,"Veszített")</f>
        <v>0</v>
      </c>
      <c r="E37" s="34">
        <f>COUNTIFS('Tippmix napló'!$C$7:$C$133,"&gt;="&amp;B37,'Tippmix napló'!$C$7:$C$133,"&lt;"&amp;C37+1,'Tippmix napló'!$G$7:$G$133,"Nyert")</f>
        <v>0</v>
      </c>
      <c r="F37" s="34">
        <f>COUNTIFS('Tippmix napló'!$C$7:$C$133,"&gt;="&amp;B37,'Tippmix napló'!$C$7:$C$133,"&lt;"&amp;C37+1,'Tippmix napló'!$G$7:$G$133,"Veszített")</f>
        <v>0</v>
      </c>
      <c r="G37" s="36">
        <f t="shared" si="3"/>
        <v>0</v>
      </c>
      <c r="H37" s="43">
        <f>SUMIFS('Tippmix napló'!$I$7:$I$133,'Tippmix napló'!$C$7:$C$133,"&gt;="&amp;B37,'Tippmix napló'!$C$7:$C$133,"&lt;"&amp;C37+1)</f>
        <v>0</v>
      </c>
      <c r="I37" s="37">
        <f>SUMIFS('Tippmix napló'!$D$7:$D$133,'Tippmix napló'!$C$7:$C$133,"&gt;="&amp;B37,'Tippmix napló'!$C$7:$C$133,"&lt;"&amp;C37+1,'Tippmix napló'!$G$7:$G$133,"Nyert")+SUMIFS('Tippmix napló'!$D$7:$D$133,'Tippmix napló'!$C$7:$C$133,"&gt;="&amp;B37,'Tippmix napló'!$C$7:$C$133,"&lt;"&amp;C37+1,'Tippmix napló'!$G$7:$G$133,"Veszített")</f>
        <v>0</v>
      </c>
      <c r="J37" s="36">
        <f t="shared" si="4"/>
        <v>0</v>
      </c>
    </row>
    <row r="38" hidden="1" spans="1:10" x14ac:dyDescent="0.25">
      <c r="A38" s="38" t="str">
        <f t="shared" si="0"/>
        <v>CW32</v>
      </c>
      <c r="B38" s="45">
        <f t="shared" si="1"/>
        <v>46237</v>
      </c>
      <c r="C38" s="45">
        <f t="shared" si="2"/>
        <v>46243</v>
      </c>
      <c r="D38" s="38">
        <f>COUNTIFS('Tippmix napló'!$C$7:$C$133,"&gt;="&amp;B38,'Tippmix napló'!$C$7:$C$133,"&lt;"&amp;C38+1,'Tippmix napló'!$G$7:$G$133,"Nyert")+COUNTIFS('Tippmix napló'!$C$7:$C$133,"&gt;="&amp;B38,'Tippmix napló'!$C$7:$C$133,"&lt;"&amp;C38+1,'Tippmix napló'!$G$7:$G$133,"Veszített")</f>
        <v>0</v>
      </c>
      <c r="E38" s="38">
        <f>COUNTIFS('Tippmix napló'!$C$7:$C$133,"&gt;="&amp;B38,'Tippmix napló'!$C$7:$C$133,"&lt;"&amp;C38+1,'Tippmix napló'!$G$7:$G$133,"Nyert")</f>
        <v>0</v>
      </c>
      <c r="F38" s="38">
        <f>COUNTIFS('Tippmix napló'!$C$7:$C$133,"&gt;="&amp;B38,'Tippmix napló'!$C$7:$C$133,"&lt;"&amp;C38+1,'Tippmix napló'!$G$7:$G$133,"Veszített")</f>
        <v>0</v>
      </c>
      <c r="G38" s="40">
        <f t="shared" si="3"/>
        <v>0</v>
      </c>
      <c r="H38" s="46">
        <f>SUMIFS('Tippmix napló'!$I$7:$I$133,'Tippmix napló'!$C$7:$C$133,"&gt;="&amp;B38,'Tippmix napló'!$C$7:$C$133,"&lt;"&amp;C38+1)</f>
        <v>0</v>
      </c>
      <c r="I38" s="41">
        <f>SUMIFS('Tippmix napló'!$D$7:$D$133,'Tippmix napló'!$C$7:$C$133,"&gt;="&amp;B38,'Tippmix napló'!$C$7:$C$133,"&lt;"&amp;C38+1,'Tippmix napló'!$G$7:$G$133,"Nyert")+SUMIFS('Tippmix napló'!$D$7:$D$133,'Tippmix napló'!$C$7:$C$133,"&gt;="&amp;B38,'Tippmix napló'!$C$7:$C$133,"&lt;"&amp;C38+1,'Tippmix napló'!$G$7:$G$133,"Veszített")</f>
        <v>0</v>
      </c>
      <c r="J38" s="40">
        <f t="shared" si="4"/>
        <v>0</v>
      </c>
    </row>
    <row r="39" hidden="1" spans="1:10" x14ac:dyDescent="0.25">
      <c r="A39" s="34" t="str">
        <f t="shared" ref="A39:A59" si="5">IF(OR(B39="",B39&gt;TODAY()+370),"","CW"&amp;TEXT(ROW()-6,"00"))</f>
        <v>CW33</v>
      </c>
      <c r="B39" s="42">
        <f t="shared" ref="B39:B59" si="6">DATE($B$3,1,4)-WEEKDAY(DATE($B$3,1,4),2)+1+(ROW()-7)*7</f>
        <v>46244</v>
      </c>
      <c r="C39" s="42">
        <f t="shared" ref="C39:C59" si="7">B39+6</f>
        <v>46250</v>
      </c>
      <c r="D39" s="34">
        <f>COUNTIFS('Tippmix napló'!$C$7:$C$133,"&gt;="&amp;B39,'Tippmix napló'!$C$7:$C$133,"&lt;"&amp;C39+1,'Tippmix napló'!$G$7:$G$133,"Nyert")+COUNTIFS('Tippmix napló'!$C$7:$C$133,"&gt;="&amp;B39,'Tippmix napló'!$C$7:$C$133,"&lt;"&amp;C39+1,'Tippmix napló'!$G$7:$G$133,"Veszített")</f>
        <v>0</v>
      </c>
      <c r="E39" s="34">
        <f>COUNTIFS('Tippmix napló'!$C$7:$C$133,"&gt;="&amp;B39,'Tippmix napló'!$C$7:$C$133,"&lt;"&amp;C39+1,'Tippmix napló'!$G$7:$G$133,"Nyert")</f>
        <v>0</v>
      </c>
      <c r="F39" s="34">
        <f>COUNTIFS('Tippmix napló'!$C$7:$C$133,"&gt;="&amp;B39,'Tippmix napló'!$C$7:$C$133,"&lt;"&amp;C39+1,'Tippmix napló'!$G$7:$G$133,"Veszített")</f>
        <v>0</v>
      </c>
      <c r="G39" s="36">
        <f t="shared" ref="G39:G59" si="8">IFERROR(E39/(E39+F39),0)</f>
        <v>0</v>
      </c>
      <c r="H39" s="43">
        <f>SUMIFS('Tippmix napló'!$I$7:$I$133,'Tippmix napló'!$C$7:$C$133,"&gt;="&amp;B39,'Tippmix napló'!$C$7:$C$133,"&lt;"&amp;C39+1)</f>
        <v>0</v>
      </c>
      <c r="I39" s="37">
        <f>SUMIFS('Tippmix napló'!$D$7:$D$133,'Tippmix napló'!$C$7:$C$133,"&gt;="&amp;B39,'Tippmix napló'!$C$7:$C$133,"&lt;"&amp;C39+1,'Tippmix napló'!$G$7:$G$133,"Nyert")+SUMIFS('Tippmix napló'!$D$7:$D$133,'Tippmix napló'!$C$7:$C$133,"&gt;="&amp;B39,'Tippmix napló'!$C$7:$C$133,"&lt;"&amp;C39+1,'Tippmix napló'!$G$7:$G$133,"Veszített")</f>
        <v>0</v>
      </c>
      <c r="J39" s="36">
        <f t="shared" ref="J39:J59" si="9">IFERROR(H39/I39,0)</f>
        <v>0</v>
      </c>
    </row>
    <row r="40" hidden="1" spans="1:10" x14ac:dyDescent="0.25">
      <c r="A40" s="38" t="str">
        <f t="shared" si="5"/>
        <v>CW34</v>
      </c>
      <c r="B40" s="45">
        <f t="shared" si="6"/>
        <v>46251</v>
      </c>
      <c r="C40" s="45">
        <f t="shared" si="7"/>
        <v>46257</v>
      </c>
      <c r="D40" s="38">
        <f>COUNTIFS('Tippmix napló'!$C$7:$C$133,"&gt;="&amp;B40,'Tippmix napló'!$C$7:$C$133,"&lt;"&amp;C40+1,'Tippmix napló'!$G$7:$G$133,"Nyert")+COUNTIFS('Tippmix napló'!$C$7:$C$133,"&gt;="&amp;B40,'Tippmix napló'!$C$7:$C$133,"&lt;"&amp;C40+1,'Tippmix napló'!$G$7:$G$133,"Veszített")</f>
        <v>0</v>
      </c>
      <c r="E40" s="38">
        <f>COUNTIFS('Tippmix napló'!$C$7:$C$133,"&gt;="&amp;B40,'Tippmix napló'!$C$7:$C$133,"&lt;"&amp;C40+1,'Tippmix napló'!$G$7:$G$133,"Nyert")</f>
        <v>0</v>
      </c>
      <c r="F40" s="38">
        <f>COUNTIFS('Tippmix napló'!$C$7:$C$133,"&gt;="&amp;B40,'Tippmix napló'!$C$7:$C$133,"&lt;"&amp;C40+1,'Tippmix napló'!$G$7:$G$133,"Veszített")</f>
        <v>0</v>
      </c>
      <c r="G40" s="40">
        <f t="shared" si="8"/>
        <v>0</v>
      </c>
      <c r="H40" s="46">
        <f>SUMIFS('Tippmix napló'!$I$7:$I$133,'Tippmix napló'!$C$7:$C$133,"&gt;="&amp;B40,'Tippmix napló'!$C$7:$C$133,"&lt;"&amp;C40+1)</f>
        <v>0</v>
      </c>
      <c r="I40" s="41">
        <f>SUMIFS('Tippmix napló'!$D$7:$D$133,'Tippmix napló'!$C$7:$C$133,"&gt;="&amp;B40,'Tippmix napló'!$C$7:$C$133,"&lt;"&amp;C40+1,'Tippmix napló'!$G$7:$G$133,"Nyert")+SUMIFS('Tippmix napló'!$D$7:$D$133,'Tippmix napló'!$C$7:$C$133,"&gt;="&amp;B40,'Tippmix napló'!$C$7:$C$133,"&lt;"&amp;C40+1,'Tippmix napló'!$G$7:$G$133,"Veszített")</f>
        <v>0</v>
      </c>
      <c r="J40" s="40">
        <f t="shared" si="9"/>
        <v>0</v>
      </c>
    </row>
    <row r="41" spans="1:10" x14ac:dyDescent="0.25">
      <c r="A41" s="34" t="str">
        <f t="shared" si="5"/>
        <v>CW35</v>
      </c>
      <c r="B41" s="42">
        <f t="shared" si="6"/>
        <v>46258</v>
      </c>
      <c r="C41" s="42">
        <f t="shared" si="7"/>
        <v>46264</v>
      </c>
      <c r="D41" s="34">
        <f>COUNTIFS('Tippmix napló'!$C$7:$C$133,"&gt;="&amp;B41,'Tippmix napló'!$C$7:$C$133,"&lt;"&amp;C41+1,'Tippmix napló'!$G$7:$G$133,"Nyert")+COUNTIFS('Tippmix napló'!$C$7:$C$133,"&gt;="&amp;B41,'Tippmix napló'!$C$7:$C$133,"&lt;"&amp;C41+1,'Tippmix napló'!$G$7:$G$133,"Veszített")</f>
        <v>3</v>
      </c>
      <c r="E41" s="34">
        <f>COUNTIFS('Tippmix napló'!$C$7:$C$133,"&gt;="&amp;B41,'Tippmix napló'!$C$7:$C$133,"&lt;"&amp;C41+1,'Tippmix napló'!$G$7:$G$133,"Nyert")</f>
        <v>2</v>
      </c>
      <c r="F41" s="34">
        <f>COUNTIFS('Tippmix napló'!$C$7:$C$133,"&gt;="&amp;B41,'Tippmix napló'!$C$7:$C$133,"&lt;"&amp;C41+1,'Tippmix napló'!$G$7:$G$133,"Veszített")</f>
        <v>1</v>
      </c>
      <c r="G41" s="36">
        <f t="shared" si="8"/>
        <v>0.6666666666666666</v>
      </c>
      <c r="H41" s="43">
        <f>SUMIFS('Tippmix napló'!$I$7:$I$133,'Tippmix napló'!$C$7:$C$133,"&gt;="&amp;B41,'Tippmix napló'!$C$7:$C$133,"&lt;"&amp;C41+1)</f>
        <v>2210</v>
      </c>
      <c r="I41" s="37">
        <f>SUMIFS('Tippmix napló'!$D$7:$D$133,'Tippmix napló'!$C$7:$C$133,"&gt;="&amp;B41,'Tippmix napló'!$C$7:$C$133,"&lt;"&amp;C41+1,'Tippmix napló'!$G$7:$G$133,"Nyert")+SUMIFS('Tippmix napló'!$D$7:$D$133,'Tippmix napló'!$C$7:$C$133,"&gt;="&amp;B41,'Tippmix napló'!$C$7:$C$133,"&lt;"&amp;C41+1,'Tippmix napló'!$G$7:$G$133,"Veszített")</f>
        <v>3000</v>
      </c>
      <c r="J41" s="36">
        <f t="shared" si="9"/>
        <v>0.7366666666666667</v>
      </c>
    </row>
    <row r="42" spans="1:10" x14ac:dyDescent="0.25">
      <c r="A42" s="38" t="str">
        <f t="shared" si="5"/>
        <v>CW36</v>
      </c>
      <c r="B42" s="45">
        <f t="shared" si="6"/>
        <v>46265</v>
      </c>
      <c r="C42" s="45">
        <f t="shared" si="7"/>
        <v>46271</v>
      </c>
      <c r="D42" s="38">
        <f>COUNTIFS('Tippmix napló'!$C$7:$C$133,"&gt;="&amp;B42,'Tippmix napló'!$C$7:$C$133,"&lt;"&amp;C42+1,'Tippmix napló'!$G$7:$G$133,"Nyert")+COUNTIFS('Tippmix napló'!$C$7:$C$133,"&gt;="&amp;B42,'Tippmix napló'!$C$7:$C$133,"&lt;"&amp;C42+1,'Tippmix napló'!$G$7:$G$133,"Veszített")</f>
        <v>7</v>
      </c>
      <c r="E42" s="38">
        <f>COUNTIFS('Tippmix napló'!$C$7:$C$133,"&gt;="&amp;B42,'Tippmix napló'!$C$7:$C$133,"&lt;"&amp;C42+1,'Tippmix napló'!$G$7:$G$133,"Nyert")</f>
        <v>5</v>
      </c>
      <c r="F42" s="38">
        <f>COUNTIFS('Tippmix napló'!$C$7:$C$133,"&gt;="&amp;B42,'Tippmix napló'!$C$7:$C$133,"&lt;"&amp;C42+1,'Tippmix napló'!$G$7:$G$133,"Veszített")</f>
        <v>2</v>
      </c>
      <c r="G42" s="40">
        <f t="shared" si="8"/>
        <v>0.7142857142857143</v>
      </c>
      <c r="H42" s="46">
        <f>SUMIFS('Tippmix napló'!$I$7:$I$133,'Tippmix napló'!$C$7:$C$133,"&gt;="&amp;B42,'Tippmix napló'!$C$7:$C$133,"&lt;"&amp;C42+1)</f>
        <v>3760</v>
      </c>
      <c r="I42" s="41">
        <f>SUMIFS('Tippmix napló'!$D$7:$D$133,'Tippmix napló'!$C$7:$C$133,"&gt;="&amp;B42,'Tippmix napló'!$C$7:$C$133,"&lt;"&amp;C42+1,'Tippmix napló'!$G$7:$G$133,"Nyert")+SUMIFS('Tippmix napló'!$D$7:$D$133,'Tippmix napló'!$C$7:$C$133,"&gt;="&amp;B42,'Tippmix napló'!$C$7:$C$133,"&lt;"&amp;C42+1,'Tippmix napló'!$G$7:$G$133,"Veszített")</f>
        <v>7000</v>
      </c>
      <c r="J42" s="40">
        <f t="shared" si="9"/>
        <v>0.5371428571428571</v>
      </c>
    </row>
    <row r="43" spans="1:10" x14ac:dyDescent="0.25">
      <c r="A43" s="34" t="str">
        <f t="shared" si="5"/>
        <v>CW37</v>
      </c>
      <c r="B43" s="42">
        <f t="shared" si="6"/>
        <v>46272</v>
      </c>
      <c r="C43" s="42">
        <f t="shared" si="7"/>
        <v>46278</v>
      </c>
      <c r="D43" s="34">
        <f>COUNTIFS('Tippmix napló'!$C$7:$C$133,"&gt;="&amp;B43,'Tippmix napló'!$C$7:$C$133,"&lt;"&amp;C43+1,'Tippmix napló'!$G$7:$G$133,"Nyert")+COUNTIFS('Tippmix napló'!$C$7:$C$133,"&gt;="&amp;B43,'Tippmix napló'!$C$7:$C$133,"&lt;"&amp;C43+1,'Tippmix napló'!$G$7:$G$133,"Veszített")</f>
        <v>10</v>
      </c>
      <c r="E43" s="34">
        <f>COUNTIFS('Tippmix napló'!$C$7:$C$133,"&gt;="&amp;B43,'Tippmix napló'!$C$7:$C$133,"&lt;"&amp;C43+1,'Tippmix napló'!$G$7:$G$133,"Nyert")</f>
        <v>7</v>
      </c>
      <c r="F43" s="34">
        <f>COUNTIFS('Tippmix napló'!$C$7:$C$133,"&gt;="&amp;B43,'Tippmix napló'!$C$7:$C$133,"&lt;"&amp;C43+1,'Tippmix napló'!$G$7:$G$133,"Veszített")</f>
        <v>3</v>
      </c>
      <c r="G43" s="36">
        <f t="shared" si="8"/>
        <v>0.7</v>
      </c>
      <c r="H43" s="43">
        <f>SUMIFS('Tippmix napló'!$I$7:$I$133,'Tippmix napló'!$C$7:$C$133,"&gt;="&amp;B43,'Tippmix napló'!$C$7:$C$133,"&lt;"&amp;C43+1)</f>
        <v>3480</v>
      </c>
      <c r="I43" s="37">
        <f>SUMIFS('Tippmix napló'!$D$7:$D$133,'Tippmix napló'!$C$7:$C$133,"&gt;="&amp;B43,'Tippmix napló'!$C$7:$C$133,"&lt;"&amp;C43+1,'Tippmix napló'!$G$7:$G$133,"Nyert")+SUMIFS('Tippmix napló'!$D$7:$D$133,'Tippmix napló'!$C$7:$C$133,"&gt;="&amp;B43,'Tippmix napló'!$C$7:$C$133,"&lt;"&amp;C43+1,'Tippmix napló'!$G$7:$G$133,"Veszített")</f>
        <v>10000</v>
      </c>
      <c r="J43" s="36">
        <f t="shared" si="9"/>
        <v>0.348</v>
      </c>
    </row>
    <row r="44" spans="1:10" x14ac:dyDescent="0.25">
      <c r="A44" s="38" t="str">
        <f t="shared" si="5"/>
        <v>CW38</v>
      </c>
      <c r="B44" s="45">
        <f t="shared" si="6"/>
        <v>46279</v>
      </c>
      <c r="C44" s="45">
        <f t="shared" si="7"/>
        <v>46285</v>
      </c>
      <c r="D44" s="38">
        <f>COUNTIFS('Tippmix napló'!$C$7:$C$133,"&gt;="&amp;B44,'Tippmix napló'!$C$7:$C$133,"&lt;"&amp;C44+1,'Tippmix napló'!$G$7:$G$133,"Nyert")+COUNTIFS('Tippmix napló'!$C$7:$C$133,"&gt;="&amp;B44,'Tippmix napló'!$C$7:$C$133,"&lt;"&amp;C44+1,'Tippmix napló'!$G$7:$G$133,"Veszített")</f>
        <v>10</v>
      </c>
      <c r="E44" s="38">
        <f>COUNTIFS('Tippmix napló'!$C$7:$C$133,"&gt;="&amp;B44,'Tippmix napló'!$C$7:$C$133,"&lt;"&amp;C44+1,'Tippmix napló'!$G$7:$G$133,"Nyert")</f>
        <v>8</v>
      </c>
      <c r="F44" s="38">
        <f>COUNTIFS('Tippmix napló'!$C$7:$C$133,"&gt;="&amp;B44,'Tippmix napló'!$C$7:$C$133,"&lt;"&amp;C44+1,'Tippmix napló'!$G$7:$G$133,"Veszített")</f>
        <v>2</v>
      </c>
      <c r="G44" s="40">
        <f t="shared" si="8"/>
        <v>0.8</v>
      </c>
      <c r="H44" s="46">
        <f>SUMIFS('Tippmix napló'!$I$7:$I$133,'Tippmix napló'!$C$7:$C$133,"&gt;="&amp;B44,'Tippmix napló'!$C$7:$C$133,"&lt;"&amp;C44+1)</f>
        <v>6950</v>
      </c>
      <c r="I44" s="41">
        <f>SUMIFS('Tippmix napló'!$D$7:$D$133,'Tippmix napló'!$C$7:$C$133,"&gt;="&amp;B44,'Tippmix napló'!$C$7:$C$133,"&lt;"&amp;C44+1,'Tippmix napló'!$G$7:$G$133,"Nyert")+SUMIFS('Tippmix napló'!$D$7:$D$133,'Tippmix napló'!$C$7:$C$133,"&gt;="&amp;B44,'Tippmix napló'!$C$7:$C$133,"&lt;"&amp;C44+1,'Tippmix napló'!$G$7:$G$133,"Veszített")</f>
        <v>12000</v>
      </c>
      <c r="J44" s="40">
        <f t="shared" si="9"/>
        <v>0.5791666666666667</v>
      </c>
    </row>
    <row r="45" spans="1:10" x14ac:dyDescent="0.25">
      <c r="A45" s="34" t="str">
        <f t="shared" si="5"/>
        <v>CW39</v>
      </c>
      <c r="B45" s="42">
        <f t="shared" si="6"/>
        <v>46286</v>
      </c>
      <c r="C45" s="42">
        <f t="shared" si="7"/>
        <v>46292</v>
      </c>
      <c r="D45" s="34">
        <f>COUNTIFS('Tippmix napló'!$C$7:$C$133,"&gt;="&amp;B45,'Tippmix napló'!$C$7:$C$133,"&lt;"&amp;C45+1,'Tippmix napló'!$G$7:$G$133,"Nyert")+COUNTIFS('Tippmix napló'!$C$7:$C$133,"&gt;="&amp;B45,'Tippmix napló'!$C$7:$C$133,"&lt;"&amp;C45+1,'Tippmix napló'!$G$7:$G$133,"Veszített")</f>
        <v>8</v>
      </c>
      <c r="E45" s="34">
        <f>COUNTIFS('Tippmix napló'!$C$7:$C$133,"&gt;="&amp;B45,'Tippmix napló'!$C$7:$C$133,"&lt;"&amp;C45+1,'Tippmix napló'!$G$7:$G$133,"Nyert")</f>
        <v>3</v>
      </c>
      <c r="F45" s="34">
        <f>COUNTIFS('Tippmix napló'!$C$7:$C$133,"&gt;="&amp;B45,'Tippmix napló'!$C$7:$C$133,"&lt;"&amp;C45+1,'Tippmix napló'!$G$7:$G$133,"Veszített")</f>
        <v>5</v>
      </c>
      <c r="G45" s="36">
        <f t="shared" si="8"/>
        <v>0.375</v>
      </c>
      <c r="H45" s="43">
        <f>SUMIFS('Tippmix napló'!$I$7:$I$133,'Tippmix napló'!$C$7:$C$133,"&gt;="&amp;B45,'Tippmix napló'!$C$7:$C$133,"&lt;"&amp;C45+1)</f>
        <v>-2560</v>
      </c>
      <c r="I45" s="37">
        <f>SUMIFS('Tippmix napló'!$D$7:$D$133,'Tippmix napló'!$C$7:$C$133,"&gt;="&amp;B45,'Tippmix napló'!$C$7:$C$133,"&lt;"&amp;C45+1,'Tippmix napló'!$G$7:$G$133,"Nyert")+SUMIFS('Tippmix napló'!$D$7:$D$133,'Tippmix napló'!$C$7:$C$133,"&gt;="&amp;B45,'Tippmix napló'!$C$7:$C$133,"&lt;"&amp;C45+1,'Tippmix napló'!$G$7:$G$133,"Veszített")</f>
        <v>16000</v>
      </c>
      <c r="J45" s="36">
        <f t="shared" si="9"/>
        <v>-0.16</v>
      </c>
    </row>
    <row r="46" spans="1:10" x14ac:dyDescent="0.25">
      <c r="A46" s="38" t="str">
        <f t="shared" si="5"/>
        <v>CW40</v>
      </c>
      <c r="B46" s="45">
        <f t="shared" si="6"/>
        <v>46293</v>
      </c>
      <c r="C46" s="45">
        <f t="shared" si="7"/>
        <v>46299</v>
      </c>
      <c r="D46" s="38">
        <f>COUNTIFS('Tippmix napló'!$C$7:$C$133,"&gt;="&amp;B46,'Tippmix napló'!$C$7:$C$133,"&lt;"&amp;C46+1,'Tippmix napló'!$G$7:$G$133,"Nyert")+COUNTIFS('Tippmix napló'!$C$7:$C$133,"&gt;="&amp;B46,'Tippmix napló'!$C$7:$C$133,"&lt;"&amp;C46+1,'Tippmix napló'!$G$7:$G$133,"Veszített")</f>
        <v>7</v>
      </c>
      <c r="E46" s="38">
        <f>COUNTIFS('Tippmix napló'!$C$7:$C$133,"&gt;="&amp;B46,'Tippmix napló'!$C$7:$C$133,"&lt;"&amp;C46+1,'Tippmix napló'!$G$7:$G$133,"Nyert")</f>
        <v>4</v>
      </c>
      <c r="F46" s="38">
        <f>COUNTIFS('Tippmix napló'!$C$7:$C$133,"&gt;="&amp;B46,'Tippmix napló'!$C$7:$C$133,"&lt;"&amp;C46+1,'Tippmix napló'!$G$7:$G$133,"Veszített")</f>
        <v>3</v>
      </c>
      <c r="G46" s="40">
        <f t="shared" si="8"/>
        <v>0.5714285714285714</v>
      </c>
      <c r="H46" s="46">
        <f>SUMIFS('Tippmix napló'!$I$7:$I$133,'Tippmix napló'!$C$7:$C$133,"&gt;="&amp;B46,'Tippmix napló'!$C$7:$C$133,"&lt;"&amp;C46+1)</f>
        <v>1939.9999999999995</v>
      </c>
      <c r="I46" s="41">
        <f>SUMIFS('Tippmix napló'!$D$7:$D$133,'Tippmix napló'!$C$7:$C$133,"&gt;="&amp;B46,'Tippmix napló'!$C$7:$C$133,"&lt;"&amp;C46+1,'Tippmix napló'!$G$7:$G$133,"Nyert")+SUMIFS('Tippmix napló'!$D$7:$D$133,'Tippmix napló'!$C$7:$C$133,"&gt;="&amp;B46,'Tippmix napló'!$C$7:$C$133,"&lt;"&amp;C46+1,'Tippmix napló'!$G$7:$G$133,"Veszített")</f>
        <v>14000</v>
      </c>
      <c r="J46" s="40">
        <f t="shared" si="9"/>
        <v>0.13857142857142854</v>
      </c>
    </row>
    <row r="47" spans="1:10" x14ac:dyDescent="0.25">
      <c r="A47" s="34" t="str">
        <f t="shared" si="5"/>
        <v>CW41</v>
      </c>
      <c r="B47" s="42">
        <f t="shared" si="6"/>
        <v>46300</v>
      </c>
      <c r="C47" s="42">
        <f t="shared" si="7"/>
        <v>46306</v>
      </c>
      <c r="D47" s="34">
        <f>COUNTIFS('Tippmix napló'!$C$7:$C$133,"&gt;="&amp;B47,'Tippmix napló'!$C$7:$C$133,"&lt;"&amp;C47+1,'Tippmix napló'!$G$7:$G$133,"Nyert")+COUNTIFS('Tippmix napló'!$C$7:$C$133,"&gt;="&amp;B47,'Tippmix napló'!$C$7:$C$133,"&lt;"&amp;C47+1,'Tippmix napló'!$G$7:$G$133,"Veszített")</f>
        <v>7</v>
      </c>
      <c r="E47" s="34">
        <f>COUNTIFS('Tippmix napló'!$C$7:$C$133,"&gt;="&amp;B47,'Tippmix napló'!$C$7:$C$133,"&lt;"&amp;C47+1,'Tippmix napló'!$G$7:$G$133,"Nyert")</f>
        <v>5</v>
      </c>
      <c r="F47" s="34">
        <f>COUNTIFS('Tippmix napló'!$C$7:$C$133,"&gt;="&amp;B47,'Tippmix napló'!$C$7:$C$133,"&lt;"&amp;C47+1,'Tippmix napló'!$G$7:$G$133,"Veszített")</f>
        <v>2</v>
      </c>
      <c r="G47" s="36">
        <f t="shared" si="8"/>
        <v>0.7142857142857143</v>
      </c>
      <c r="H47" s="43">
        <f>SUMIFS('Tippmix napló'!$I$7:$I$133,'Tippmix napló'!$C$7:$C$133,"&gt;="&amp;B47,'Tippmix napló'!$C$7:$C$133,"&lt;"&amp;C47+1)</f>
        <v>8760</v>
      </c>
      <c r="I47" s="37">
        <f>SUMIFS('Tippmix napló'!$D$7:$D$133,'Tippmix napló'!$C$7:$C$133,"&gt;="&amp;B47,'Tippmix napló'!$C$7:$C$133,"&lt;"&amp;C47+1,'Tippmix napló'!$G$7:$G$133,"Nyert")+SUMIFS('Tippmix napló'!$D$7:$D$133,'Tippmix napló'!$C$7:$C$133,"&gt;="&amp;B47,'Tippmix napló'!$C$7:$C$133,"&lt;"&amp;C47+1,'Tippmix napló'!$G$7:$G$133,"Veszített")</f>
        <v>14000</v>
      </c>
      <c r="J47" s="36">
        <f t="shared" si="9"/>
        <v>0.6257142857142857</v>
      </c>
    </row>
    <row r="48" spans="1:10" x14ac:dyDescent="0.25">
      <c r="A48" s="38" t="str">
        <f t="shared" si="5"/>
        <v>CW42</v>
      </c>
      <c r="B48" s="45">
        <f t="shared" si="6"/>
        <v>46307</v>
      </c>
      <c r="C48" s="45">
        <f t="shared" si="7"/>
        <v>46313</v>
      </c>
      <c r="D48" s="38">
        <f>COUNTIFS('Tippmix napló'!$C$7:$C$133,"&gt;="&amp;B48,'Tippmix napló'!$C$7:$C$133,"&lt;"&amp;C48+1,'Tippmix napló'!$G$7:$G$133,"Nyert")+COUNTIFS('Tippmix napló'!$C$7:$C$133,"&gt;="&amp;B48,'Tippmix napló'!$C$7:$C$133,"&lt;"&amp;C48+1,'Tippmix napló'!$G$7:$G$133,"Veszített")</f>
        <v>7</v>
      </c>
      <c r="E48" s="38">
        <f>COUNTIFS('Tippmix napló'!$C$7:$C$133,"&gt;="&amp;B48,'Tippmix napló'!$C$7:$C$133,"&lt;"&amp;C48+1,'Tippmix napló'!$G$7:$G$133,"Nyert")</f>
        <v>4</v>
      </c>
      <c r="F48" s="38">
        <f>COUNTIFS('Tippmix napló'!$C$7:$C$133,"&gt;="&amp;B48,'Tippmix napló'!$C$7:$C$133,"&lt;"&amp;C48+1,'Tippmix napló'!$G$7:$G$133,"Veszített")</f>
        <v>3</v>
      </c>
      <c r="G48" s="40">
        <f t="shared" si="8"/>
        <v>0.5714285714285714</v>
      </c>
      <c r="H48" s="46">
        <f>SUMIFS('Tippmix napló'!$I$7:$I$133,'Tippmix napló'!$C$7:$C$133,"&gt;="&amp;B48,'Tippmix napló'!$C$7:$C$133,"&lt;"&amp;C48+1)</f>
        <v>1819.9999999999995</v>
      </c>
      <c r="I48" s="41">
        <f>SUMIFS('Tippmix napló'!$D$7:$D$133,'Tippmix napló'!$C$7:$C$133,"&gt;="&amp;B48,'Tippmix napló'!$C$7:$C$133,"&lt;"&amp;C48+1,'Tippmix napló'!$G$7:$G$133,"Nyert")+SUMIFS('Tippmix napló'!$D$7:$D$133,'Tippmix napló'!$C$7:$C$133,"&gt;="&amp;B48,'Tippmix napló'!$C$7:$C$133,"&lt;"&amp;C48+1,'Tippmix napló'!$G$7:$G$133,"Veszített")</f>
        <v>14000</v>
      </c>
      <c r="J48" s="40">
        <f t="shared" si="9"/>
        <v>0.12999999999999998</v>
      </c>
    </row>
    <row r="49" spans="1:10" x14ac:dyDescent="0.25">
      <c r="A49" s="34" t="str">
        <f t="shared" si="5"/>
        <v>CW43</v>
      </c>
      <c r="B49" s="42">
        <f t="shared" si="6"/>
        <v>46314</v>
      </c>
      <c r="C49" s="42">
        <f t="shared" si="7"/>
        <v>46320</v>
      </c>
      <c r="D49" s="34">
        <f>COUNTIFS('Tippmix napló'!$C$7:$C$133,"&gt;="&amp;B49,'Tippmix napló'!$C$7:$C$133,"&lt;"&amp;C49+1,'Tippmix napló'!$G$7:$G$133,"Nyert")+COUNTIFS('Tippmix napló'!$C$7:$C$133,"&gt;="&amp;B49,'Tippmix napló'!$C$7:$C$133,"&lt;"&amp;C49+1,'Tippmix napló'!$G$7:$G$133,"Veszített")</f>
        <v>7</v>
      </c>
      <c r="E49" s="34">
        <f>COUNTIFS('Tippmix napló'!$C$7:$C$133,"&gt;="&amp;B49,'Tippmix napló'!$C$7:$C$133,"&lt;"&amp;C49+1,'Tippmix napló'!$G$7:$G$133,"Nyert")</f>
        <v>2</v>
      </c>
      <c r="F49" s="34">
        <f>COUNTIFS('Tippmix napló'!$C$7:$C$133,"&gt;="&amp;B49,'Tippmix napló'!$C$7:$C$133,"&lt;"&amp;C49+1,'Tippmix napló'!$G$7:$G$133,"Veszített")</f>
        <v>5</v>
      </c>
      <c r="G49" s="36">
        <f t="shared" si="8"/>
        <v>0.2857142857142857</v>
      </c>
      <c r="H49" s="43">
        <f>SUMIFS('Tippmix napló'!$I$7:$I$133,'Tippmix napló'!$C$7:$C$133,"&gt;="&amp;B49,'Tippmix napló'!$C$7:$C$133,"&lt;"&amp;C49+1)</f>
        <v>-5180</v>
      </c>
      <c r="I49" s="37">
        <f>SUMIFS('Tippmix napló'!$D$7:$D$133,'Tippmix napló'!$C$7:$C$133,"&gt;="&amp;B49,'Tippmix napló'!$C$7:$C$133,"&lt;"&amp;C49+1,'Tippmix napló'!$G$7:$G$133,"Nyert")+SUMIFS('Tippmix napló'!$D$7:$D$133,'Tippmix napló'!$C$7:$C$133,"&gt;="&amp;B49,'Tippmix napló'!$C$7:$C$133,"&lt;"&amp;C49+1,'Tippmix napló'!$G$7:$G$133,"Veszített")</f>
        <v>14000</v>
      </c>
      <c r="J49" s="36">
        <f t="shared" si="9"/>
        <v>-0.37</v>
      </c>
    </row>
    <row r="50" spans="1:10" x14ac:dyDescent="0.25">
      <c r="A50" s="38" t="str">
        <f t="shared" si="5"/>
        <v>CW44</v>
      </c>
      <c r="B50" s="45">
        <f t="shared" si="6"/>
        <v>46321</v>
      </c>
      <c r="C50" s="45">
        <f t="shared" si="7"/>
        <v>46327</v>
      </c>
      <c r="D50" s="38">
        <f>COUNTIFS('Tippmix napló'!$C$7:$C$133,"&gt;="&amp;B50,'Tippmix napló'!$C$7:$C$133,"&lt;"&amp;C50+1,'Tippmix napló'!$G$7:$G$133,"Nyert")+COUNTIFS('Tippmix napló'!$C$7:$C$133,"&gt;="&amp;B50,'Tippmix napló'!$C$7:$C$133,"&lt;"&amp;C50+1,'Tippmix napló'!$G$7:$G$133,"Veszített")</f>
        <v>0</v>
      </c>
      <c r="E50" s="38">
        <f>COUNTIFS('Tippmix napló'!$C$7:$C$133,"&gt;="&amp;B50,'Tippmix napló'!$C$7:$C$133,"&lt;"&amp;C50+1,'Tippmix napló'!$G$7:$G$133,"Nyert")</f>
        <v>0</v>
      </c>
      <c r="F50" s="38">
        <f>COUNTIFS('Tippmix napló'!$C$7:$C$133,"&gt;="&amp;B50,'Tippmix napló'!$C$7:$C$133,"&lt;"&amp;C50+1,'Tippmix napló'!$G$7:$G$133,"Veszített")</f>
        <v>0</v>
      </c>
      <c r="G50" s="40">
        <f t="shared" si="8"/>
        <v>0</v>
      </c>
      <c r="H50" s="46">
        <f>SUMIFS('Tippmix napló'!$I$7:$I$133,'Tippmix napló'!$C$7:$C$133,"&gt;="&amp;B50,'Tippmix napló'!$C$7:$C$133,"&lt;"&amp;C50+1)</f>
        <v>0</v>
      </c>
      <c r="I50" s="41">
        <f>SUMIFS('Tippmix napló'!$D$7:$D$133,'Tippmix napló'!$C$7:$C$133,"&gt;="&amp;B50,'Tippmix napló'!$C$7:$C$133,"&lt;"&amp;C50+1,'Tippmix napló'!$G$7:$G$133,"Nyert")+SUMIFS('Tippmix napló'!$D$7:$D$133,'Tippmix napló'!$C$7:$C$133,"&gt;="&amp;B50,'Tippmix napló'!$C$7:$C$133,"&lt;"&amp;C50+1,'Tippmix napló'!$G$7:$G$133,"Veszített")</f>
        <v>0</v>
      </c>
      <c r="J50" s="40">
        <f t="shared" si="9"/>
        <v>0</v>
      </c>
    </row>
    <row r="51" spans="1:10" x14ac:dyDescent="0.25">
      <c r="A51" s="34" t="str">
        <f t="shared" si="5"/>
        <v>CW45</v>
      </c>
      <c r="B51" s="42">
        <f t="shared" si="6"/>
        <v>46328</v>
      </c>
      <c r="C51" s="42">
        <f t="shared" si="7"/>
        <v>46334</v>
      </c>
      <c r="D51" s="34">
        <f>COUNTIFS('Tippmix napló'!$C$7:$C$133,"&gt;="&amp;B51,'Tippmix napló'!$C$7:$C$133,"&lt;"&amp;C51+1,'Tippmix napló'!$G$7:$G$133,"Nyert")+COUNTIFS('Tippmix napló'!$C$7:$C$133,"&gt;="&amp;B51,'Tippmix napló'!$C$7:$C$133,"&lt;"&amp;C51+1,'Tippmix napló'!$G$7:$G$133,"Veszített")</f>
        <v>0</v>
      </c>
      <c r="E51" s="34">
        <f>COUNTIFS('Tippmix napló'!$C$7:$C$133,"&gt;="&amp;B51,'Tippmix napló'!$C$7:$C$133,"&lt;"&amp;C51+1,'Tippmix napló'!$G$7:$G$133,"Nyert")</f>
        <v>0</v>
      </c>
      <c r="F51" s="34">
        <f>COUNTIFS('Tippmix napló'!$C$7:$C$133,"&gt;="&amp;B51,'Tippmix napló'!$C$7:$C$133,"&lt;"&amp;C51+1,'Tippmix napló'!$G$7:$G$133,"Veszített")</f>
        <v>0</v>
      </c>
      <c r="G51" s="36">
        <f t="shared" si="8"/>
        <v>0</v>
      </c>
      <c r="H51" s="43">
        <f>SUMIFS('Tippmix napló'!$I$7:$I$133,'Tippmix napló'!$C$7:$C$133,"&gt;="&amp;B51,'Tippmix napló'!$C$7:$C$133,"&lt;"&amp;C51+1)</f>
        <v>0</v>
      </c>
      <c r="I51" s="37">
        <f>SUMIFS('Tippmix napló'!$D$7:$D$133,'Tippmix napló'!$C$7:$C$133,"&gt;="&amp;B51,'Tippmix napló'!$C$7:$C$133,"&lt;"&amp;C51+1,'Tippmix napló'!$G$7:$G$133,"Nyert")+SUMIFS('Tippmix napló'!$D$7:$D$133,'Tippmix napló'!$C$7:$C$133,"&gt;="&amp;B51,'Tippmix napló'!$C$7:$C$133,"&lt;"&amp;C51+1,'Tippmix napló'!$G$7:$G$133,"Veszített")</f>
        <v>0</v>
      </c>
      <c r="J51" s="36">
        <f t="shared" si="9"/>
        <v>0</v>
      </c>
    </row>
    <row r="52" spans="1:10" x14ac:dyDescent="0.25">
      <c r="A52" s="38" t="str">
        <f t="shared" si="5"/>
        <v>CW46</v>
      </c>
      <c r="B52" s="45">
        <f t="shared" si="6"/>
        <v>46335</v>
      </c>
      <c r="C52" s="45">
        <f t="shared" si="7"/>
        <v>46341</v>
      </c>
      <c r="D52" s="38">
        <f>COUNTIFS('Tippmix napló'!$C$7:$C$133,"&gt;="&amp;B52,'Tippmix napló'!$C$7:$C$133,"&lt;"&amp;C52+1,'Tippmix napló'!$G$7:$G$133,"Nyert")+COUNTIFS('Tippmix napló'!$C$7:$C$133,"&gt;="&amp;B52,'Tippmix napló'!$C$7:$C$133,"&lt;"&amp;C52+1,'Tippmix napló'!$G$7:$G$133,"Veszített")</f>
        <v>0</v>
      </c>
      <c r="E52" s="38">
        <f>COUNTIFS('Tippmix napló'!$C$7:$C$133,"&gt;="&amp;B52,'Tippmix napló'!$C$7:$C$133,"&lt;"&amp;C52+1,'Tippmix napló'!$G$7:$G$133,"Nyert")</f>
        <v>0</v>
      </c>
      <c r="F52" s="38">
        <f>COUNTIFS('Tippmix napló'!$C$7:$C$133,"&gt;="&amp;B52,'Tippmix napló'!$C$7:$C$133,"&lt;"&amp;C52+1,'Tippmix napló'!$G$7:$G$133,"Veszített")</f>
        <v>0</v>
      </c>
      <c r="G52" s="40">
        <f t="shared" si="8"/>
        <v>0</v>
      </c>
      <c r="H52" s="46">
        <f>SUMIFS('Tippmix napló'!$I$7:$I$133,'Tippmix napló'!$C$7:$C$133,"&gt;="&amp;B52,'Tippmix napló'!$C$7:$C$133,"&lt;"&amp;C52+1)</f>
        <v>0</v>
      </c>
      <c r="I52" s="41">
        <f>SUMIFS('Tippmix napló'!$D$7:$D$133,'Tippmix napló'!$C$7:$C$133,"&gt;="&amp;B52,'Tippmix napló'!$C$7:$C$133,"&lt;"&amp;C52+1,'Tippmix napló'!$G$7:$G$133,"Nyert")+SUMIFS('Tippmix napló'!$D$7:$D$133,'Tippmix napló'!$C$7:$C$133,"&gt;="&amp;B52,'Tippmix napló'!$C$7:$C$133,"&lt;"&amp;C52+1,'Tippmix napló'!$G$7:$G$133,"Veszített")</f>
        <v>0</v>
      </c>
      <c r="J52" s="40">
        <f t="shared" si="9"/>
        <v>0</v>
      </c>
    </row>
    <row r="53" spans="1:10" x14ac:dyDescent="0.25">
      <c r="A53" s="34" t="str">
        <f t="shared" si="5"/>
        <v>CW47</v>
      </c>
      <c r="B53" s="42">
        <f t="shared" si="6"/>
        <v>46342</v>
      </c>
      <c r="C53" s="42">
        <f t="shared" si="7"/>
        <v>46348</v>
      </c>
      <c r="D53" s="34">
        <f>COUNTIFS('Tippmix napló'!$C$7:$C$133,"&gt;="&amp;B53,'Tippmix napló'!$C$7:$C$133,"&lt;"&amp;C53+1,'Tippmix napló'!$G$7:$G$133,"Nyert")+COUNTIFS('Tippmix napló'!$C$7:$C$133,"&gt;="&amp;B53,'Tippmix napló'!$C$7:$C$133,"&lt;"&amp;C53+1,'Tippmix napló'!$G$7:$G$133,"Veszített")</f>
        <v>0</v>
      </c>
      <c r="E53" s="34">
        <f>COUNTIFS('Tippmix napló'!$C$7:$C$133,"&gt;="&amp;B53,'Tippmix napló'!$C$7:$C$133,"&lt;"&amp;C53+1,'Tippmix napló'!$G$7:$G$133,"Nyert")</f>
        <v>0</v>
      </c>
      <c r="F53" s="34">
        <f>COUNTIFS('Tippmix napló'!$C$7:$C$133,"&gt;="&amp;B53,'Tippmix napló'!$C$7:$C$133,"&lt;"&amp;C53+1,'Tippmix napló'!$G$7:$G$133,"Veszített")</f>
        <v>0</v>
      </c>
      <c r="G53" s="36">
        <f t="shared" si="8"/>
        <v>0</v>
      </c>
      <c r="H53" s="43">
        <f>SUMIFS('Tippmix napló'!$I$7:$I$133,'Tippmix napló'!$C$7:$C$133,"&gt;="&amp;B53,'Tippmix napló'!$C$7:$C$133,"&lt;"&amp;C53+1)</f>
        <v>0</v>
      </c>
      <c r="I53" s="37">
        <f>SUMIFS('Tippmix napló'!$D$7:$D$133,'Tippmix napló'!$C$7:$C$133,"&gt;="&amp;B53,'Tippmix napló'!$C$7:$C$133,"&lt;"&amp;C53+1,'Tippmix napló'!$G$7:$G$133,"Nyert")+SUMIFS('Tippmix napló'!$D$7:$D$133,'Tippmix napló'!$C$7:$C$133,"&gt;="&amp;B53,'Tippmix napló'!$C$7:$C$133,"&lt;"&amp;C53+1,'Tippmix napló'!$G$7:$G$133,"Veszített")</f>
        <v>0</v>
      </c>
      <c r="J53" s="36">
        <f t="shared" si="9"/>
        <v>0</v>
      </c>
    </row>
    <row r="54" spans="1:10" x14ac:dyDescent="0.25">
      <c r="A54" s="38" t="str">
        <f t="shared" si="5"/>
        <v>CW48</v>
      </c>
      <c r="B54" s="45">
        <f t="shared" si="6"/>
        <v>46349</v>
      </c>
      <c r="C54" s="45">
        <f t="shared" si="7"/>
        <v>46355</v>
      </c>
      <c r="D54" s="38">
        <f>COUNTIFS('Tippmix napló'!$C$7:$C$133,"&gt;="&amp;B54,'Tippmix napló'!$C$7:$C$133,"&lt;"&amp;C54+1,'Tippmix napló'!$G$7:$G$133,"Nyert")+COUNTIFS('Tippmix napló'!$C$7:$C$133,"&gt;="&amp;B54,'Tippmix napló'!$C$7:$C$133,"&lt;"&amp;C54+1,'Tippmix napló'!$G$7:$G$133,"Veszített")</f>
        <v>0</v>
      </c>
      <c r="E54" s="38">
        <f>COUNTIFS('Tippmix napló'!$C$7:$C$133,"&gt;="&amp;B54,'Tippmix napló'!$C$7:$C$133,"&lt;"&amp;C54+1,'Tippmix napló'!$G$7:$G$133,"Nyert")</f>
        <v>0</v>
      </c>
      <c r="F54" s="38">
        <f>COUNTIFS('Tippmix napló'!$C$7:$C$133,"&gt;="&amp;B54,'Tippmix napló'!$C$7:$C$133,"&lt;"&amp;C54+1,'Tippmix napló'!$G$7:$G$133,"Veszített")</f>
        <v>0</v>
      </c>
      <c r="G54" s="40">
        <f t="shared" si="8"/>
        <v>0</v>
      </c>
      <c r="H54" s="46">
        <f>SUMIFS('Tippmix napló'!$I$7:$I$133,'Tippmix napló'!$C$7:$C$133,"&gt;="&amp;B54,'Tippmix napló'!$C$7:$C$133,"&lt;"&amp;C54+1)</f>
        <v>0</v>
      </c>
      <c r="I54" s="41">
        <f>SUMIFS('Tippmix napló'!$D$7:$D$133,'Tippmix napló'!$C$7:$C$133,"&gt;="&amp;B54,'Tippmix napló'!$C$7:$C$133,"&lt;"&amp;C54+1,'Tippmix napló'!$G$7:$G$133,"Nyert")+SUMIFS('Tippmix napló'!$D$7:$D$133,'Tippmix napló'!$C$7:$C$133,"&gt;="&amp;B54,'Tippmix napló'!$C$7:$C$133,"&lt;"&amp;C54+1,'Tippmix napló'!$G$7:$G$133,"Veszített")</f>
        <v>0</v>
      </c>
      <c r="J54" s="40">
        <f t="shared" si="9"/>
        <v>0</v>
      </c>
    </row>
    <row r="55" spans="1:10" x14ac:dyDescent="0.25">
      <c r="A55" s="34" t="str">
        <f t="shared" si="5"/>
        <v>CW49</v>
      </c>
      <c r="B55" s="42">
        <f t="shared" si="6"/>
        <v>46356</v>
      </c>
      <c r="C55" s="42">
        <f t="shared" si="7"/>
        <v>46362</v>
      </c>
      <c r="D55" s="34">
        <f>COUNTIFS('Tippmix napló'!$C$7:$C$133,"&gt;="&amp;B55,'Tippmix napló'!$C$7:$C$133,"&lt;"&amp;C55+1,'Tippmix napló'!$G$7:$G$133,"Nyert")+COUNTIFS('Tippmix napló'!$C$7:$C$133,"&gt;="&amp;B55,'Tippmix napló'!$C$7:$C$133,"&lt;"&amp;C55+1,'Tippmix napló'!$G$7:$G$133,"Veszített")</f>
        <v>0</v>
      </c>
      <c r="E55" s="34">
        <f>COUNTIFS('Tippmix napló'!$C$7:$C$133,"&gt;="&amp;B55,'Tippmix napló'!$C$7:$C$133,"&lt;"&amp;C55+1,'Tippmix napló'!$G$7:$G$133,"Nyert")</f>
        <v>0</v>
      </c>
      <c r="F55" s="34">
        <f>COUNTIFS('Tippmix napló'!$C$7:$C$133,"&gt;="&amp;B55,'Tippmix napló'!$C$7:$C$133,"&lt;"&amp;C55+1,'Tippmix napló'!$G$7:$G$133,"Veszített")</f>
        <v>0</v>
      </c>
      <c r="G55" s="36">
        <f t="shared" si="8"/>
        <v>0</v>
      </c>
      <c r="H55" s="43">
        <f>SUMIFS('Tippmix napló'!$I$7:$I$133,'Tippmix napló'!$C$7:$C$133,"&gt;="&amp;B55,'Tippmix napló'!$C$7:$C$133,"&lt;"&amp;C55+1)</f>
        <v>0</v>
      </c>
      <c r="I55" s="37">
        <f>SUMIFS('Tippmix napló'!$D$7:$D$133,'Tippmix napló'!$C$7:$C$133,"&gt;="&amp;B55,'Tippmix napló'!$C$7:$C$133,"&lt;"&amp;C55+1,'Tippmix napló'!$G$7:$G$133,"Nyert")+SUMIFS('Tippmix napló'!$D$7:$D$133,'Tippmix napló'!$C$7:$C$133,"&gt;="&amp;B55,'Tippmix napló'!$C$7:$C$133,"&lt;"&amp;C55+1,'Tippmix napló'!$G$7:$G$133,"Veszített")</f>
        <v>0</v>
      </c>
      <c r="J55" s="36">
        <f t="shared" si="9"/>
        <v>0</v>
      </c>
    </row>
    <row r="56" spans="1:10" x14ac:dyDescent="0.25">
      <c r="A56" s="38" t="str">
        <f t="shared" si="5"/>
        <v>CW50</v>
      </c>
      <c r="B56" s="45">
        <f t="shared" si="6"/>
        <v>46363</v>
      </c>
      <c r="C56" s="45">
        <f t="shared" si="7"/>
        <v>46369</v>
      </c>
      <c r="D56" s="38">
        <f>COUNTIFS('Tippmix napló'!$C$7:$C$133,"&gt;="&amp;B56,'Tippmix napló'!$C$7:$C$133,"&lt;"&amp;C56+1,'Tippmix napló'!$G$7:$G$133,"Nyert")+COUNTIFS('Tippmix napló'!$C$7:$C$133,"&gt;="&amp;B56,'Tippmix napló'!$C$7:$C$133,"&lt;"&amp;C56+1,'Tippmix napló'!$G$7:$G$133,"Veszített")</f>
        <v>0</v>
      </c>
      <c r="E56" s="38">
        <f>COUNTIFS('Tippmix napló'!$C$7:$C$133,"&gt;="&amp;B56,'Tippmix napló'!$C$7:$C$133,"&lt;"&amp;C56+1,'Tippmix napló'!$G$7:$G$133,"Nyert")</f>
        <v>0</v>
      </c>
      <c r="F56" s="38">
        <f>COUNTIFS('Tippmix napló'!$C$7:$C$133,"&gt;="&amp;B56,'Tippmix napló'!$C$7:$C$133,"&lt;"&amp;C56+1,'Tippmix napló'!$G$7:$G$133,"Veszített")</f>
        <v>0</v>
      </c>
      <c r="G56" s="40">
        <f t="shared" si="8"/>
        <v>0</v>
      </c>
      <c r="H56" s="46">
        <f>SUMIFS('Tippmix napló'!$I$7:$I$133,'Tippmix napló'!$C$7:$C$133,"&gt;="&amp;B56,'Tippmix napló'!$C$7:$C$133,"&lt;"&amp;C56+1)</f>
        <v>0</v>
      </c>
      <c r="I56" s="41">
        <f>SUMIFS('Tippmix napló'!$D$7:$D$133,'Tippmix napló'!$C$7:$C$133,"&gt;="&amp;B56,'Tippmix napló'!$C$7:$C$133,"&lt;"&amp;C56+1,'Tippmix napló'!$G$7:$G$133,"Nyert")+SUMIFS('Tippmix napló'!$D$7:$D$133,'Tippmix napló'!$C$7:$C$133,"&gt;="&amp;B56,'Tippmix napló'!$C$7:$C$133,"&lt;"&amp;C56+1,'Tippmix napló'!$G$7:$G$133,"Veszített")</f>
        <v>0</v>
      </c>
      <c r="J56" s="40">
        <f t="shared" si="9"/>
        <v>0</v>
      </c>
    </row>
    <row r="57" spans="1:10" x14ac:dyDescent="0.25">
      <c r="A57" s="34" t="str">
        <f t="shared" si="5"/>
        <v>CW51</v>
      </c>
      <c r="B57" s="42">
        <f t="shared" si="6"/>
        <v>46370</v>
      </c>
      <c r="C57" s="42">
        <f t="shared" si="7"/>
        <v>46376</v>
      </c>
      <c r="D57" s="34">
        <f>COUNTIFS('Tippmix napló'!$C$7:$C$133,"&gt;="&amp;B57,'Tippmix napló'!$C$7:$C$133,"&lt;"&amp;C57+1,'Tippmix napló'!$G$7:$G$133,"Nyert")+COUNTIFS('Tippmix napló'!$C$7:$C$133,"&gt;="&amp;B57,'Tippmix napló'!$C$7:$C$133,"&lt;"&amp;C57+1,'Tippmix napló'!$G$7:$G$133,"Veszített")</f>
        <v>0</v>
      </c>
      <c r="E57" s="34">
        <f>COUNTIFS('Tippmix napló'!$C$7:$C$133,"&gt;="&amp;B57,'Tippmix napló'!$C$7:$C$133,"&lt;"&amp;C57+1,'Tippmix napló'!$G$7:$G$133,"Nyert")</f>
        <v>0</v>
      </c>
      <c r="F57" s="34">
        <f>COUNTIFS('Tippmix napló'!$C$7:$C$133,"&gt;="&amp;B57,'Tippmix napló'!$C$7:$C$133,"&lt;"&amp;C57+1,'Tippmix napló'!$G$7:$G$133,"Veszített")</f>
        <v>0</v>
      </c>
      <c r="G57" s="36">
        <f t="shared" si="8"/>
        <v>0</v>
      </c>
      <c r="H57" s="43">
        <f>SUMIFS('Tippmix napló'!$I$7:$I$133,'Tippmix napló'!$C$7:$C$133,"&gt;="&amp;B57,'Tippmix napló'!$C$7:$C$133,"&lt;"&amp;C57+1)</f>
        <v>0</v>
      </c>
      <c r="I57" s="37">
        <f>SUMIFS('Tippmix napló'!$D$7:$D$133,'Tippmix napló'!$C$7:$C$133,"&gt;="&amp;B57,'Tippmix napló'!$C$7:$C$133,"&lt;"&amp;C57+1,'Tippmix napló'!$G$7:$G$133,"Nyert")+SUMIFS('Tippmix napló'!$D$7:$D$133,'Tippmix napló'!$C$7:$C$133,"&gt;="&amp;B57,'Tippmix napló'!$C$7:$C$133,"&lt;"&amp;C57+1,'Tippmix napló'!$G$7:$G$133,"Veszített")</f>
        <v>0</v>
      </c>
      <c r="J57" s="36">
        <f t="shared" si="9"/>
        <v>0</v>
      </c>
    </row>
    <row r="58" spans="1:10" x14ac:dyDescent="0.25">
      <c r="A58" s="38" t="str">
        <f t="shared" si="5"/>
        <v>CW52</v>
      </c>
      <c r="B58" s="45">
        <f t="shared" si="6"/>
        <v>46377</v>
      </c>
      <c r="C58" s="45">
        <f t="shared" si="7"/>
        <v>46383</v>
      </c>
      <c r="D58" s="38">
        <f>COUNTIFS('Tippmix napló'!$C$7:$C$133,"&gt;="&amp;B58,'Tippmix napló'!$C$7:$C$133,"&lt;"&amp;C58+1,'Tippmix napló'!$G$7:$G$133,"Nyert")+COUNTIFS('Tippmix napló'!$C$7:$C$133,"&gt;="&amp;B58,'Tippmix napló'!$C$7:$C$133,"&lt;"&amp;C58+1,'Tippmix napló'!$G$7:$G$133,"Veszített")</f>
        <v>0</v>
      </c>
      <c r="E58" s="38">
        <f>COUNTIFS('Tippmix napló'!$C$7:$C$133,"&gt;="&amp;B58,'Tippmix napló'!$C$7:$C$133,"&lt;"&amp;C58+1,'Tippmix napló'!$G$7:$G$133,"Nyert")</f>
        <v>0</v>
      </c>
      <c r="F58" s="38">
        <f>COUNTIFS('Tippmix napló'!$C$7:$C$133,"&gt;="&amp;B58,'Tippmix napló'!$C$7:$C$133,"&lt;"&amp;C58+1,'Tippmix napló'!$G$7:$G$133,"Veszített")</f>
        <v>0</v>
      </c>
      <c r="G58" s="40">
        <f t="shared" si="8"/>
        <v>0</v>
      </c>
      <c r="H58" s="46">
        <f>SUMIFS('Tippmix napló'!$I$7:$I$133,'Tippmix napló'!$C$7:$C$133,"&gt;="&amp;B58,'Tippmix napló'!$C$7:$C$133,"&lt;"&amp;C58+1)</f>
        <v>0</v>
      </c>
      <c r="I58" s="41">
        <f>SUMIFS('Tippmix napló'!$D$7:$D$133,'Tippmix napló'!$C$7:$C$133,"&gt;="&amp;B58,'Tippmix napló'!$C$7:$C$133,"&lt;"&amp;C58+1,'Tippmix napló'!$G$7:$G$133,"Nyert")+SUMIFS('Tippmix napló'!$D$7:$D$133,'Tippmix napló'!$C$7:$C$133,"&gt;="&amp;B58,'Tippmix napló'!$C$7:$C$133,"&lt;"&amp;C58+1,'Tippmix napló'!$G$7:$G$133,"Veszített")</f>
        <v>0</v>
      </c>
      <c r="J58" s="40">
        <f t="shared" si="9"/>
        <v>0</v>
      </c>
    </row>
    <row r="59" spans="1:10" x14ac:dyDescent="0.25">
      <c r="A59" s="34" t="str">
        <f t="shared" si="5"/>
        <v>CW53</v>
      </c>
      <c r="B59" s="42">
        <f t="shared" si="6"/>
        <v>46384</v>
      </c>
      <c r="C59" s="42">
        <f t="shared" si="7"/>
        <v>46390</v>
      </c>
      <c r="D59" s="34">
        <f>COUNTIFS('Tippmix napló'!$C$7:$C$133,"&gt;="&amp;B59,'Tippmix napló'!$C$7:$C$133,"&lt;"&amp;C59+1,'Tippmix napló'!$G$7:$G$133,"Nyert")+COUNTIFS('Tippmix napló'!$C$7:$C$133,"&gt;="&amp;B59,'Tippmix napló'!$C$7:$C$133,"&lt;"&amp;C59+1,'Tippmix napló'!$G$7:$G$133,"Veszített")</f>
        <v>0</v>
      </c>
      <c r="E59" s="34">
        <f>COUNTIFS('Tippmix napló'!$C$7:$C$133,"&gt;="&amp;B59,'Tippmix napló'!$C$7:$C$133,"&lt;"&amp;C59+1,'Tippmix napló'!$G$7:$G$133,"Nyert")</f>
        <v>0</v>
      </c>
      <c r="F59" s="34">
        <f>COUNTIFS('Tippmix napló'!$C$7:$C$133,"&gt;="&amp;B59,'Tippmix napló'!$C$7:$C$133,"&lt;"&amp;C59+1,'Tippmix napló'!$G$7:$G$133,"Veszített")</f>
        <v>0</v>
      </c>
      <c r="G59" s="36">
        <f t="shared" si="8"/>
        <v>0</v>
      </c>
      <c r="H59" s="43">
        <f>SUMIFS('Tippmix napló'!$I$7:$I$133,'Tippmix napló'!$C$7:$C$133,"&gt;="&amp;B59,'Tippmix napló'!$C$7:$C$133,"&lt;"&amp;C59+1)</f>
        <v>0</v>
      </c>
      <c r="I59" s="37">
        <f>SUMIFS('Tippmix napló'!$D$7:$D$133,'Tippmix napló'!$C$7:$C$133,"&gt;="&amp;B59,'Tippmix napló'!$C$7:$C$133,"&lt;"&amp;C59+1,'Tippmix napló'!$G$7:$G$133,"Nyert")+SUMIFS('Tippmix napló'!$D$7:$D$133,'Tippmix napló'!$C$7:$C$133,"&gt;="&amp;B59,'Tippmix napló'!$C$7:$C$133,"&lt;"&amp;C59+1,'Tippmix napló'!$G$7:$G$133,"Veszített")</f>
        <v>0</v>
      </c>
      <c r="J59" s="36">
        <f t="shared" si="9"/>
        <v>0</v>
      </c>
    </row>
  </sheetData>
  <autoFilter ref="A6:J59"/>
  <mergeCells count="2">
    <mergeCell ref="A1:J1"/>
    <mergeCell ref="L1:M1"/>
  </mergeCells>
  <conditionalFormatting sqref="H7:H59">
    <cfRule type="cellIs" dxfId="4" priority="1" operator="greaterThan">
      <formula>0</formula>
    </cfRule>
    <cfRule type="cellIs" dxfId="5" priority="2" operator="lessThan">
      <formula>0</formula>
    </cfRule>
  </conditionalFormatting>
  <dataValidations count="1">
    <dataValidation type="whole" errorTitle="Érvénytelen év" error="2000 és 2100 közötti évet adj meg." sqref="B3">
      <formula1>2000</formula1>
      <formula2>2100</formula2>
    </dataValidation>
  </dataValidations>
  <pageMargins left="0.75" right="0.75" top="1" bottom="1" header="0.5" footer="0.5"/>
  <pageSetup orientation="landscape" horizontalDpi="4294967295" verticalDpi="4294967295" scale="100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showGridLines="0" zoomScale="100" zoomScaleNormal="100">
      <selection activeCell="B7" sqref="B7"/>
    </sheetView>
  </sheetViews>
  <sheetFormatPr defaultRowHeight="15" outlineLevelRow="0" outlineLevelCol="0" x14ac:dyDescent="0.25"/>
  <cols>
    <col min="1" max="1" width="25" customWidth="1"/>
    <col min="2" max="2" width="22" customWidth="1"/>
  </cols>
  <sheetData>
    <row r="1" ht="26.25" customHeight="1" spans="1:4" x14ac:dyDescent="0.25">
      <c r="A1" s="47" t="s">
        <v>38</v>
      </c>
      <c r="B1"/>
      <c r="C1"/>
      <c r="D1"/>
    </row>
    <row r="2" spans="1:4" x14ac:dyDescent="0.25">
      <c r="A2" s="48"/>
      <c r="B2" s="48"/>
      <c r="C2" s="48"/>
      <c r="D2" s="48"/>
    </row>
    <row r="3" ht="19.5" customHeight="1" spans="1:4" x14ac:dyDescent="0.25">
      <c r="A3" s="49" t="s">
        <v>39</v>
      </c>
      <c r="B3" s="50">
        <f>SUM('Tippmix napló'!I7:I133)</f>
        <v>21180</v>
      </c>
      <c r="C3" s="48"/>
      <c r="D3" s="48"/>
    </row>
    <row r="4" ht="19.5" customHeight="1" spans="1:4" x14ac:dyDescent="0.25">
      <c r="A4" s="49" t="s">
        <v>40</v>
      </c>
      <c r="B4" s="50">
        <f>SUMIFS('Tippmix napló'!I7:I133,'Tippmix napló'!C7:C133,"&gt;="&amp;TODAY()-WEEKDAY(TODAY(),2)+1,'Tippmix napló'!C7:C133,"&lt;"&amp;TODAY()-WEEKDAY(TODAY(),2)+8)</f>
        <v>0</v>
      </c>
      <c r="C4" s="48"/>
      <c r="D4" s="48"/>
    </row>
    <row r="5" ht="19.5" customHeight="1" spans="1:4" x14ac:dyDescent="0.25">
      <c r="A5" s="49" t="s">
        <v>41</v>
      </c>
      <c r="B5" s="50">
        <f>SUMIFS('Tippmix napló'!I7:I133,'Tippmix napló'!C7:C133,"&gt;="&amp;EOMONTH(TODAY(),-1)+1,'Tippmix napló'!C7:C133,"&lt;="&amp;EOMONTH(TODAY(),0))</f>
        <v>13340</v>
      </c>
      <c r="C5" s="48"/>
      <c r="D5" s="48"/>
    </row>
    <row r="6" ht="19.5" customHeight="1" spans="1:4" x14ac:dyDescent="0.25">
      <c r="A6" s="49" t="s">
        <v>42</v>
      </c>
      <c r="B6" s="51">
        <f>IFERROR(COUNTIF('Tippmix napló'!G7:G133,"Nyert")/(COUNTIF('Tippmix napló'!G7:G133,"Nyert")+COUNTIF('Tippmix napló'!G7:G133,"Veszített")),0)</f>
        <v>0.6060606060606061</v>
      </c>
      <c r="C6" s="48"/>
      <c r="D6" s="48"/>
    </row>
    <row r="7" ht="19.5" customHeight="1" spans="1:4" x14ac:dyDescent="0.25">
      <c r="A7" s="49" t="s">
        <v>43</v>
      </c>
      <c r="B7" s="51">
        <f>IFERROR(COUNTIFS('Tippmix napló'!G7:G133,"Nyert",'Tippmix napló'!C7:C133,"&gt;="&amp;TODAY()-WEEKDAY(TODAY(),2)+1,'Tippmix napló'!C7:C133,"&lt;"&amp;TODAY()-WEEKDAY(TODAY(),2)+8)/(COUNTIFS('Tippmix napló'!G7:G133,"Nyert",'Tippmix napló'!C7:C133,"&gt;="&amp;TODAY()-WEEKDAY(TODAY(),2)+1,'Tippmix napló'!C7:C133,"&lt;"&amp;TODAY()-WEEKDAY(TODAY(),2)+8)+COUNTIFS('Tippmix napló'!G7:G133,"Veszített",'Tippmix napló'!C7:C133,"&gt;="&amp;TODAY()-WEEKDAY(TODAY(),2)+1,'Tippmix napló'!C7:C133,"&lt;"&amp;TODAY()-WEEKDAY(TODAY(),2)+8)),0)</f>
        <v>0</v>
      </c>
      <c r="C7" s="48"/>
      <c r="D7" s="48"/>
    </row>
    <row r="8" ht="19.5" customHeight="1" spans="1:4" x14ac:dyDescent="0.25">
      <c r="A8" s="49" t="s">
        <v>44</v>
      </c>
      <c r="B8" s="51">
        <f>IFERROR(COUNTIFS('Tippmix napló'!G7:G133,"Nyert",'Tippmix napló'!C7:C133,"&gt;="&amp;EOMONTH(TODAY(),-1)+1,'Tippmix napló'!C7:C133,"&lt;="&amp;EOMONTH(TODAY(),0))/(COUNTIFS('Tippmix napló'!G7:G133,"Nyert",'Tippmix napló'!C7:C133,"&gt;="&amp;EOMONTH(TODAY(),-1)+1,'Tippmix napló'!C7:C133,"&lt;="&amp;EOMONTH(TODAY(),0))+COUNTIFS('Tippmix napló'!G7:G133,"Veszített",'Tippmix napló'!C7:C133,"&gt;="&amp;EOMONTH(TODAY(),-1)+1,'Tippmix napló'!C7:C133,"&lt;="&amp;EOMONTH(TODAY(),0))),0)</f>
        <v>0.6</v>
      </c>
      <c r="C8" s="48"/>
      <c r="D8" s="48"/>
    </row>
    <row r="9" spans="1:4" x14ac:dyDescent="0.25">
      <c r="A9" s="48"/>
      <c r="B9" s="48"/>
      <c r="C9" s="48"/>
      <c r="D9" s="48"/>
    </row>
    <row r="10" spans="1:4" x14ac:dyDescent="0.25">
      <c r="A10" s="48"/>
      <c r="B10" s="48"/>
      <c r="C10" s="48"/>
      <c r="D10" s="48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showGridLines="0" zoomScale="100" zoomScaleNormal="100"/>
  </sheetViews>
  <sheetFormatPr defaultRowHeight="15" outlineLevelRow="0" outlineLevelCol="0" x14ac:dyDescent="0.25"/>
  <cols>
    <col min="1" max="1" width="8" customWidth="1"/>
    <col min="2" max="2" width="25" customWidth="1"/>
    <col min="3" max="6" width="24" customWidth="1"/>
  </cols>
  <sheetData>
    <row r="1" ht="26.25" customHeight="1" spans="1:6" x14ac:dyDescent="0.25">
      <c r="A1" s="47" t="s">
        <v>45</v>
      </c>
      <c r="B1"/>
      <c r="C1"/>
      <c r="D1"/>
      <c r="E1"/>
      <c r="F1"/>
    </row>
    <row r="2" spans="1:6" x14ac:dyDescent="0.25">
      <c r="A2" s="48"/>
      <c r="B2" s="48"/>
      <c r="C2" s="48"/>
      <c r="D2" s="48"/>
      <c r="E2" s="48"/>
      <c r="F2" s="48"/>
    </row>
    <row r="3" spans="1:6" x14ac:dyDescent="0.25">
      <c r="A3" s="52" t="s">
        <v>46</v>
      </c>
      <c r="B3" s="53" t="s">
        <v>5</v>
      </c>
      <c r="C3" s="54" t="s">
        <v>47</v>
      </c>
      <c r="D3"/>
      <c r="E3"/>
      <c r="F3"/>
    </row>
    <row r="4" spans="1:6" x14ac:dyDescent="0.25">
      <c r="A4" s="52" t="s">
        <v>48</v>
      </c>
      <c r="B4" s="53" t="s">
        <v>12</v>
      </c>
      <c r="C4" s="54" t="s">
        <v>49</v>
      </c>
      <c r="D4"/>
      <c r="E4"/>
      <c r="F4"/>
    </row>
    <row r="5" spans="1:6" x14ac:dyDescent="0.25">
      <c r="A5" s="52" t="s">
        <v>50</v>
      </c>
      <c r="B5" s="53" t="s">
        <v>51</v>
      </c>
      <c r="C5" s="54" t="s">
        <v>52</v>
      </c>
      <c r="D5"/>
      <c r="E5"/>
      <c r="F5"/>
    </row>
    <row r="6" spans="1:6" x14ac:dyDescent="0.25">
      <c r="A6" s="52" t="s">
        <v>53</v>
      </c>
      <c r="B6" s="53" t="s">
        <v>7</v>
      </c>
      <c r="C6" s="54" t="s">
        <v>54</v>
      </c>
      <c r="D6"/>
      <c r="E6"/>
      <c r="F6"/>
    </row>
    <row r="7" spans="1:6" x14ac:dyDescent="0.25">
      <c r="A7" s="52" t="s">
        <v>55</v>
      </c>
      <c r="B7" s="53" t="s">
        <v>6</v>
      </c>
      <c r="C7" s="54" t="s">
        <v>56</v>
      </c>
      <c r="D7"/>
      <c r="E7"/>
      <c r="F7"/>
    </row>
    <row r="8" spans="1:6" x14ac:dyDescent="0.25">
      <c r="A8" s="52" t="s">
        <v>57</v>
      </c>
      <c r="B8" s="53" t="s">
        <v>9</v>
      </c>
      <c r="C8" s="54" t="s">
        <v>58</v>
      </c>
      <c r="D8"/>
      <c r="E8"/>
      <c r="F8"/>
    </row>
    <row r="9" spans="1:6" x14ac:dyDescent="0.25">
      <c r="A9" s="52" t="s">
        <v>59</v>
      </c>
      <c r="B9" s="53" t="s">
        <v>60</v>
      </c>
      <c r="C9" s="54" t="s">
        <v>61</v>
      </c>
      <c r="D9"/>
      <c r="E9"/>
      <c r="F9"/>
    </row>
    <row r="10" spans="1:6" x14ac:dyDescent="0.25">
      <c r="A10" s="48"/>
      <c r="B10" s="48"/>
      <c r="C10" s="48"/>
      <c r="D10" s="48"/>
      <c r="E10" s="48"/>
      <c r="F10" s="48"/>
    </row>
    <row r="12" ht="42" customHeight="1" spans="1:3" x14ac:dyDescent="0.25">
      <c r="A12" s="55" t="s">
        <v>62</v>
      </c>
      <c r="B12" s="55" t="s">
        <v>63</v>
      </c>
      <c r="C12" s="56" t="s">
        <v>64</v>
      </c>
    </row>
    <row r="13" ht="105" customHeight="1" spans="1:3" x14ac:dyDescent="0.25">
      <c r="A13" s="55"/>
      <c r="B13" s="55" t="s">
        <v>65</v>
      </c>
      <c r="C13" s="56" t="s">
        <v>66</v>
      </c>
    </row>
  </sheetData>
  <mergeCells count="8">
    <mergeCell ref="A1:F1"/>
    <mergeCell ref="C3:F3"/>
    <mergeCell ref="C4:F4"/>
    <mergeCell ref="C5:F5"/>
    <mergeCell ref="C6:F6"/>
    <mergeCell ref="C7:F7"/>
    <mergeCell ref="C8:F8"/>
    <mergeCell ref="C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 zoomScale="100" zoomScaleNormal="100">
      <pane ySplit="6" topLeftCell="A7" activePane="bottomLeft" state="frozen"/>
      <selection pane="bottomLeft" activeCell="M30" sqref="M30"/>
    </sheetView>
  </sheetViews>
  <sheetFormatPr defaultRowHeight="15" outlineLevelRow="0" outlineLevelCol="0" x14ac:dyDescent="0.25"/>
  <cols>
    <col min="1" max="1" width="12" customWidth="1"/>
    <col min="2" max="2" width="15" customWidth="1"/>
    <col min="3" max="3" width="46.140625" customWidth="1"/>
    <col min="4" max="4" width="13" customWidth="1"/>
    <col min="5" max="5" width="10" customWidth="1"/>
    <col min="6" max="6" width="12" customWidth="1"/>
    <col min="7" max="7" width="13" customWidth="1"/>
    <col min="8" max="8" width="18" customWidth="1"/>
    <col min="9" max="9" width="17" customWidth="1"/>
    <col min="10" max="10" width="10" customWidth="1"/>
    <col min="11" max="11" width="3" customWidth="1"/>
    <col min="12" max="12" width="22" customWidth="1"/>
    <col min="13" max="13" width="18" customWidth="1"/>
    <col min="14" max="14" width="10.42578125" customWidth="1"/>
    <col min="15" max="15" width="16.7109375" customWidth="1"/>
  </cols>
  <sheetData>
    <row r="1" ht="33.95" customHeight="1" spans="1:13" x14ac:dyDescent="0.25">
      <c r="A1" s="24" t="s">
        <v>18</v>
      </c>
      <c r="B1"/>
      <c r="C1"/>
      <c r="D1"/>
      <c r="E1"/>
      <c r="F1"/>
      <c r="G1"/>
      <c r="H1"/>
      <c r="I1"/>
      <c r="J1"/>
      <c r="L1" s="25" t="s">
        <v>19</v>
      </c>
      <c r="M1"/>
    </row>
    <row r="3" spans="1:13" x14ac:dyDescent="0.25">
      <c r="A3" s="26" t="s">
        <v>20</v>
      </c>
      <c r="B3" s="27">
        <v>2026</v>
      </c>
      <c r="C3" s="28" t="s">
        <v>21</v>
      </c>
      <c r="L3" s="29" t="s">
        <v>22</v>
      </c>
      <c r="M3" s="30">
        <f>SUM(D7:D18)</f>
        <v>66</v>
      </c>
    </row>
    <row r="4" spans="12:15" x14ac:dyDescent="0.25">
      <c r="L4" s="29" t="s">
        <v>14</v>
      </c>
      <c r="M4" s="30">
        <f>SUM(E7:E18)</f>
        <v>40</v>
      </c>
      <c r="N4" s="29" t="s">
        <v>23</v>
      </c>
      <c r="O4" s="31">
        <f>SUM(H7:H18)</f>
        <v>21180</v>
      </c>
    </row>
    <row r="5" spans="12:15" x14ac:dyDescent="0.25">
      <c r="L5" s="29" t="s">
        <v>16</v>
      </c>
      <c r="M5" s="30">
        <f>SUM(F7:F18)</f>
        <v>26</v>
      </c>
      <c r="N5" s="29" t="s">
        <v>24</v>
      </c>
      <c r="O5" s="31">
        <f>SUM(I7:I18)</f>
        <v>104000</v>
      </c>
    </row>
    <row r="6" ht="32.1" customHeight="1" spans="1:15" x14ac:dyDescent="0.25">
      <c r="A6" s="32" t="s">
        <v>25</v>
      </c>
      <c r="B6" s="32" t="s">
        <v>26</v>
      </c>
      <c r="C6" s="32" t="s">
        <v>27</v>
      </c>
      <c r="D6" s="32" t="s">
        <v>22</v>
      </c>
      <c r="E6" s="32" t="s">
        <v>14</v>
      </c>
      <c r="F6" s="32" t="s">
        <v>16</v>
      </c>
      <c r="G6" s="32" t="s">
        <v>28</v>
      </c>
      <c r="H6" s="32" t="s">
        <v>29</v>
      </c>
      <c r="I6" s="32" t="s">
        <v>30</v>
      </c>
      <c r="J6" s="32" t="s">
        <v>31</v>
      </c>
      <c r="L6" s="29" t="s">
        <v>28</v>
      </c>
      <c r="M6" s="33">
        <f>IFERROR(M4/M3,0)</f>
        <v>0.6060606060606061</v>
      </c>
      <c r="N6" s="29" t="s">
        <v>31</v>
      </c>
      <c r="O6" s="33">
        <f>IFERROR(O4/O5,0)</f>
        <v>0.20365384615384616</v>
      </c>
    </row>
    <row r="7" hidden="1" spans="1:10" x14ac:dyDescent="0.25">
      <c r="A7" s="34">
        <v>1</v>
      </c>
      <c r="B7" s="35">
        <f>DATE($B$3,1,1)</f>
        <v>46023</v>
      </c>
      <c r="C7" s="35">
        <f t="shared" ref="C7:C18" si="0">EOMONTH(B7,0)</f>
        <v>46053</v>
      </c>
      <c r="D7" s="34">
        <f>COUNTIFS('Tippmix napló'!$C$7:$C$133,"&gt;="&amp;B7,'Tippmix napló'!$C$7:$C$133,"&lt;"&amp;C7+1,'Tippmix napló'!$G$7:$G$133,"Nyert")+COUNTIFS('Tippmix napló'!$C$7:$C$133,"&gt;="&amp;B7,'Tippmix napló'!$C$7:$C$133,"&lt;"&amp;C7+1,'Tippmix napló'!$G$7:$G$133,"Veszített")</f>
        <v>0</v>
      </c>
      <c r="E7" s="34">
        <f>COUNTIFS('Tippmix napló'!$C$7:$C$133,"&gt;="&amp;B7,'Tippmix napló'!$C$7:$C$133,"&lt;"&amp;C7+1,'Tippmix napló'!$G$7:$G$133,"Nyert")</f>
        <v>0</v>
      </c>
      <c r="F7" s="34">
        <f>COUNTIFS('Tippmix napló'!$C$7:$C$133,"&gt;="&amp;B7,'Tippmix napló'!$C$7:$C$133,"&lt;"&amp;C7+1,'Tippmix napló'!$G$7:$G$133,"Veszített")</f>
        <v>0</v>
      </c>
      <c r="G7" s="36">
        <f t="shared" ref="G7:G18" si="1">IFERROR(E7/(E7+F7),0)</f>
        <v>0</v>
      </c>
      <c r="H7" s="37">
        <f>SUMIFS('Tippmix napló'!$I$7:$I$133,'Tippmix napló'!$C$7:$C$133,"&gt;="&amp;B7,'Tippmix napló'!$C$7:$C$133,"&lt;"&amp;C7+1)</f>
        <v>0</v>
      </c>
      <c r="I7" s="37">
        <f>SUMIFS('Tippmix napló'!$D$7:$D$133,'Tippmix napló'!$C$7:$C$133,"&gt;="&amp;B7,'Tippmix napló'!$C$7:$C$133,"&lt;"&amp;C7+1,'Tippmix napló'!$G$7:$G$133,"Nyert")+SUMIFS('Tippmix napló'!$D$7:$D$133,'Tippmix napló'!$C$7:$C$133,"&gt;="&amp;B7,'Tippmix napló'!$C$7:$C$133,"&lt;"&amp;C7+1,'Tippmix napló'!$G$7:$G$133,"Veszített")</f>
        <v>0</v>
      </c>
      <c r="J7" s="36">
        <f t="shared" ref="J7:J18" si="2">IFERROR(H7/I7,0)</f>
        <v>0</v>
      </c>
    </row>
    <row r="8" hidden="1" spans="1:10" x14ac:dyDescent="0.25">
      <c r="A8" s="38">
        <v>2</v>
      </c>
      <c r="B8" s="39">
        <f>DATE($B$3,2,1)</f>
        <v>46054</v>
      </c>
      <c r="C8" s="39">
        <f t="shared" si="0"/>
        <v>46081</v>
      </c>
      <c r="D8" s="38">
        <f>COUNTIFS('Tippmix napló'!$C$7:$C$133,"&gt;="&amp;B8,'Tippmix napló'!$C$7:$C$133,"&lt;"&amp;C8+1,'Tippmix napló'!$G$7:$G$133,"Nyert")+COUNTIFS('Tippmix napló'!$C$7:$C$133,"&gt;="&amp;B8,'Tippmix napló'!$C$7:$C$133,"&lt;"&amp;C8+1,'Tippmix napló'!$G$7:$G$133,"Veszített")</f>
        <v>0</v>
      </c>
      <c r="E8" s="38">
        <f>COUNTIFS('Tippmix napló'!$C$7:$C$133,"&gt;="&amp;B8,'Tippmix napló'!$C$7:$C$133,"&lt;"&amp;C8+1,'Tippmix napló'!$G$7:$G$133,"Nyert")</f>
        <v>0</v>
      </c>
      <c r="F8" s="38">
        <f>COUNTIFS('Tippmix napló'!$C$7:$C$133,"&gt;="&amp;B8,'Tippmix napló'!$C$7:$C$133,"&lt;"&amp;C8+1,'Tippmix napló'!$G$7:$G$133,"Veszített")</f>
        <v>0</v>
      </c>
      <c r="G8" s="40">
        <f t="shared" si="1"/>
        <v>0</v>
      </c>
      <c r="H8" s="41">
        <f>SUMIFS('Tippmix napló'!$I$7:$I$133,'Tippmix napló'!$C$7:$C$133,"&gt;="&amp;B8,'Tippmix napló'!$C$7:$C$133,"&lt;"&amp;C8+1)</f>
        <v>0</v>
      </c>
      <c r="I8" s="41">
        <f>SUMIFS('Tippmix napló'!$D$7:$D$133,'Tippmix napló'!$C$7:$C$133,"&gt;="&amp;B8,'Tippmix napló'!$C$7:$C$133,"&lt;"&amp;C8+1,'Tippmix napló'!$G$7:$G$133,"Nyert")+SUMIFS('Tippmix napló'!$D$7:$D$133,'Tippmix napló'!$C$7:$C$133,"&gt;="&amp;B8,'Tippmix napló'!$C$7:$C$133,"&lt;"&amp;C8+1,'Tippmix napló'!$G$7:$G$133,"Veszített")</f>
        <v>0</v>
      </c>
      <c r="J8" s="40">
        <f t="shared" si="2"/>
        <v>0</v>
      </c>
    </row>
    <row r="9" hidden="1" spans="1:10" x14ac:dyDescent="0.25">
      <c r="A9" s="34">
        <v>3</v>
      </c>
      <c r="B9" s="35">
        <f>DATE($B$3,3,1)</f>
        <v>46082</v>
      </c>
      <c r="C9" s="35">
        <f t="shared" si="0"/>
        <v>46112</v>
      </c>
      <c r="D9" s="34">
        <f>COUNTIFS('Tippmix napló'!$C$7:$C$133,"&gt;="&amp;B9,'Tippmix napló'!$C$7:$C$133,"&lt;"&amp;C9+1,'Tippmix napló'!$G$7:$G$133,"Nyert")+COUNTIFS('Tippmix napló'!$C$7:$C$133,"&gt;="&amp;B9,'Tippmix napló'!$C$7:$C$133,"&lt;"&amp;C9+1,'Tippmix napló'!$G$7:$G$133,"Veszített")</f>
        <v>0</v>
      </c>
      <c r="E9" s="34">
        <f>COUNTIFS('Tippmix napló'!$C$7:$C$133,"&gt;="&amp;B9,'Tippmix napló'!$C$7:$C$133,"&lt;"&amp;C9+1,'Tippmix napló'!$G$7:$G$133,"Nyert")</f>
        <v>0</v>
      </c>
      <c r="F9" s="34">
        <f>COUNTIFS('Tippmix napló'!$C$7:$C$133,"&gt;="&amp;B9,'Tippmix napló'!$C$7:$C$133,"&lt;"&amp;C9+1,'Tippmix napló'!$G$7:$G$133,"Veszített")</f>
        <v>0</v>
      </c>
      <c r="G9" s="36">
        <f t="shared" si="1"/>
        <v>0</v>
      </c>
      <c r="H9" s="37">
        <f>SUMIFS('Tippmix napló'!$I$7:$I$133,'Tippmix napló'!$C$7:$C$133,"&gt;="&amp;B9,'Tippmix napló'!$C$7:$C$133,"&lt;"&amp;C9+1)</f>
        <v>0</v>
      </c>
      <c r="I9" s="37">
        <f>SUMIFS('Tippmix napló'!$D$7:$D$133,'Tippmix napló'!$C$7:$C$133,"&gt;="&amp;B9,'Tippmix napló'!$C$7:$C$133,"&lt;"&amp;C9+1,'Tippmix napló'!$G$7:$G$133,"Nyert")+SUMIFS('Tippmix napló'!$D$7:$D$133,'Tippmix napló'!$C$7:$C$133,"&gt;="&amp;B9,'Tippmix napló'!$C$7:$C$133,"&lt;"&amp;C9+1,'Tippmix napló'!$G$7:$G$133,"Veszített")</f>
        <v>0</v>
      </c>
      <c r="J9" s="36">
        <f t="shared" si="2"/>
        <v>0</v>
      </c>
    </row>
    <row r="10" hidden="1" spans="1:10" x14ac:dyDescent="0.25">
      <c r="A10" s="38">
        <v>4</v>
      </c>
      <c r="B10" s="39">
        <f>DATE($B$3,4,1)</f>
        <v>46113</v>
      </c>
      <c r="C10" s="39">
        <f t="shared" si="0"/>
        <v>46142</v>
      </c>
      <c r="D10" s="38">
        <f>COUNTIFS('Tippmix napló'!$C$7:$C$133,"&gt;="&amp;B10,'Tippmix napló'!$C$7:$C$133,"&lt;"&amp;C10+1,'Tippmix napló'!$G$7:$G$133,"Nyert")+COUNTIFS('Tippmix napló'!$C$7:$C$133,"&gt;="&amp;B10,'Tippmix napló'!$C$7:$C$133,"&lt;"&amp;C10+1,'Tippmix napló'!$G$7:$G$133,"Veszített")</f>
        <v>0</v>
      </c>
      <c r="E10" s="38">
        <f>COUNTIFS('Tippmix napló'!$C$7:$C$133,"&gt;="&amp;B10,'Tippmix napló'!$C$7:$C$133,"&lt;"&amp;C10+1,'Tippmix napló'!$G$7:$G$133,"Nyert")</f>
        <v>0</v>
      </c>
      <c r="F10" s="38">
        <f>COUNTIFS('Tippmix napló'!$C$7:$C$133,"&gt;="&amp;B10,'Tippmix napló'!$C$7:$C$133,"&lt;"&amp;C10+1,'Tippmix napló'!$G$7:$G$133,"Veszített")</f>
        <v>0</v>
      </c>
      <c r="G10" s="40">
        <f t="shared" si="1"/>
        <v>0</v>
      </c>
      <c r="H10" s="41">
        <f>SUMIFS('Tippmix napló'!$I$7:$I$133,'Tippmix napló'!$C$7:$C$133,"&gt;="&amp;B10,'Tippmix napló'!$C$7:$C$133,"&lt;"&amp;C10+1)</f>
        <v>0</v>
      </c>
      <c r="I10" s="41">
        <f>SUMIFS('Tippmix napló'!$D$7:$D$133,'Tippmix napló'!$C$7:$C$133,"&gt;="&amp;B10,'Tippmix napló'!$C$7:$C$133,"&lt;"&amp;C10+1,'Tippmix napló'!$G$7:$G$133,"Nyert")+SUMIFS('Tippmix napló'!$D$7:$D$133,'Tippmix napló'!$C$7:$C$133,"&gt;="&amp;B10,'Tippmix napló'!$C$7:$C$133,"&lt;"&amp;C10+1,'Tippmix napló'!$G$7:$G$133,"Veszített")</f>
        <v>0</v>
      </c>
      <c r="J10" s="40">
        <f t="shared" si="2"/>
        <v>0</v>
      </c>
    </row>
    <row r="11" hidden="1" spans="1:10" x14ac:dyDescent="0.25">
      <c r="A11" s="34">
        <v>5</v>
      </c>
      <c r="B11" s="35">
        <f>DATE($B$3,5,1)</f>
        <v>46143</v>
      </c>
      <c r="C11" s="35">
        <f t="shared" si="0"/>
        <v>46173</v>
      </c>
      <c r="D11" s="34">
        <f>COUNTIFS('Tippmix napló'!$C$7:$C$133,"&gt;="&amp;B11,'Tippmix napló'!$C$7:$C$133,"&lt;"&amp;C11+1,'Tippmix napló'!$G$7:$G$133,"Nyert")+COUNTIFS('Tippmix napló'!$C$7:$C$133,"&gt;="&amp;B11,'Tippmix napló'!$C$7:$C$133,"&lt;"&amp;C11+1,'Tippmix napló'!$G$7:$G$133,"Veszített")</f>
        <v>0</v>
      </c>
      <c r="E11" s="34">
        <f>COUNTIFS('Tippmix napló'!$C$7:$C$133,"&gt;="&amp;B11,'Tippmix napló'!$C$7:$C$133,"&lt;"&amp;C11+1,'Tippmix napló'!$G$7:$G$133,"Nyert")</f>
        <v>0</v>
      </c>
      <c r="F11" s="34">
        <f>COUNTIFS('Tippmix napló'!$C$7:$C$133,"&gt;="&amp;B11,'Tippmix napló'!$C$7:$C$133,"&lt;"&amp;C11+1,'Tippmix napló'!$G$7:$G$133,"Veszített")</f>
        <v>0</v>
      </c>
      <c r="G11" s="36">
        <f t="shared" si="1"/>
        <v>0</v>
      </c>
      <c r="H11" s="37">
        <f>SUMIFS('Tippmix napló'!$I$7:$I$133,'Tippmix napló'!$C$7:$C$133,"&gt;="&amp;B11,'Tippmix napló'!$C$7:$C$133,"&lt;"&amp;C11+1)</f>
        <v>0</v>
      </c>
      <c r="I11" s="37">
        <f>SUMIFS('Tippmix napló'!$D$7:$D$133,'Tippmix napló'!$C$7:$C$133,"&gt;="&amp;B11,'Tippmix napló'!$C$7:$C$133,"&lt;"&amp;C11+1,'Tippmix napló'!$G$7:$G$133,"Nyert")+SUMIFS('Tippmix napló'!$D$7:$D$133,'Tippmix napló'!$C$7:$C$133,"&gt;="&amp;B11,'Tippmix napló'!$C$7:$C$133,"&lt;"&amp;C11+1,'Tippmix napló'!$G$7:$G$133,"Veszített")</f>
        <v>0</v>
      </c>
      <c r="J11" s="36">
        <f t="shared" si="2"/>
        <v>0</v>
      </c>
    </row>
    <row r="12" hidden="1" spans="1:10" x14ac:dyDescent="0.25">
      <c r="A12" s="34">
        <v>6</v>
      </c>
      <c r="B12" s="35">
        <f>DATE($B$3,6,1)</f>
        <v>46174</v>
      </c>
      <c r="C12" s="35">
        <f t="shared" si="0"/>
        <v>46203</v>
      </c>
      <c r="D12" s="34">
        <f>COUNTIFS('Tippmix napló'!$C$7:$C$133,"&gt;="&amp;B12,'Tippmix napló'!$C$7:$C$133,"&lt;"&amp;C12+1,'Tippmix napló'!$G$7:$G$133,"Nyert")+COUNTIFS('Tippmix napló'!$C$7:$C$133,"&gt;="&amp;B12,'Tippmix napló'!$C$7:$C$133,"&lt;"&amp;C12+1,'Tippmix napló'!$G$7:$G$133,"Veszített")</f>
        <v>0</v>
      </c>
      <c r="E12" s="34">
        <f>COUNTIFS('Tippmix napló'!$C$7:$C$133,"&gt;="&amp;B12,'Tippmix napló'!$C$7:$C$133,"&lt;"&amp;C12+1,'Tippmix napló'!$G$7:$G$133,"Nyert")</f>
        <v>0</v>
      </c>
      <c r="F12" s="34">
        <f>COUNTIFS('Tippmix napló'!$C$7:$C$133,"&gt;="&amp;B12,'Tippmix napló'!$C$7:$C$133,"&lt;"&amp;C12+1,'Tippmix napló'!$G$7:$G$133,"Veszített")</f>
        <v>0</v>
      </c>
      <c r="G12" s="36">
        <f t="shared" si="1"/>
        <v>0</v>
      </c>
      <c r="H12" s="37">
        <f>SUMIFS('Tippmix napló'!$I$7:$I$133,'Tippmix napló'!$C$7:$C$133,"&gt;="&amp;B12,'Tippmix napló'!$C$7:$C$133,"&lt;"&amp;C12+1)</f>
        <v>0</v>
      </c>
      <c r="I12" s="37">
        <f>SUMIFS('Tippmix napló'!$D$7:$D$133,'Tippmix napló'!$C$7:$C$133,"&gt;="&amp;B12,'Tippmix napló'!$C$7:$C$133,"&lt;"&amp;C12+1,'Tippmix napló'!$G$7:$G$133,"Nyert")+SUMIFS('Tippmix napló'!$D$7:$D$133,'Tippmix napló'!$C$7:$C$133,"&gt;="&amp;B12,'Tippmix napló'!$C$7:$C$133,"&lt;"&amp;C12+1,'Tippmix napló'!$G$7:$G$133,"Veszített")</f>
        <v>0</v>
      </c>
      <c r="J12" s="36">
        <f t="shared" si="2"/>
        <v>0</v>
      </c>
    </row>
    <row r="13" hidden="1" spans="1:10" x14ac:dyDescent="0.25">
      <c r="A13" s="38">
        <v>7</v>
      </c>
      <c r="B13" s="39">
        <f>DATE($B$3,7,1)</f>
        <v>46204</v>
      </c>
      <c r="C13" s="39">
        <f t="shared" si="0"/>
        <v>46234</v>
      </c>
      <c r="D13" s="38">
        <f>COUNTIFS('Tippmix napló'!$C$7:$C$133,"&gt;="&amp;B13,'Tippmix napló'!$C$7:$C$133,"&lt;"&amp;C13+1,'Tippmix napló'!$G$7:$G$133,"Nyert")+COUNTIFS('Tippmix napló'!$C$7:$C$133,"&gt;="&amp;B13,'Tippmix napló'!$C$7:$C$133,"&lt;"&amp;C13+1,'Tippmix napló'!$G$7:$G$133,"Veszített")</f>
        <v>0</v>
      </c>
      <c r="E13" s="38">
        <f>COUNTIFS('Tippmix napló'!$C$7:$C$133,"&gt;="&amp;B13,'Tippmix napló'!$C$7:$C$133,"&lt;"&amp;C13+1,'Tippmix napló'!$G$7:$G$133,"Nyert")</f>
        <v>0</v>
      </c>
      <c r="F13" s="38">
        <f>COUNTIFS('Tippmix napló'!$C$7:$C$133,"&gt;="&amp;B13,'Tippmix napló'!$C$7:$C$133,"&lt;"&amp;C13+1,'Tippmix napló'!$G$7:$G$133,"Veszített")</f>
        <v>0</v>
      </c>
      <c r="G13" s="40">
        <f t="shared" si="1"/>
        <v>0</v>
      </c>
      <c r="H13" s="41">
        <f>SUMIFS('Tippmix napló'!$I$7:$I$133,'Tippmix napló'!$C$7:$C$133,"&gt;="&amp;B13,'Tippmix napló'!$C$7:$C$133,"&lt;"&amp;C13+1)</f>
        <v>0</v>
      </c>
      <c r="I13" s="41">
        <f>SUMIFS('Tippmix napló'!$D$7:$D$133,'Tippmix napló'!$C$7:$C$133,"&gt;="&amp;B13,'Tippmix napló'!$C$7:$C$133,"&lt;"&amp;C13+1,'Tippmix napló'!$G$7:$G$133,"Nyert")+SUMIFS('Tippmix napló'!$D$7:$D$133,'Tippmix napló'!$C$7:$C$133,"&gt;="&amp;B13,'Tippmix napló'!$C$7:$C$133,"&lt;"&amp;C13+1,'Tippmix napló'!$G$7:$G$133,"Veszített")</f>
        <v>0</v>
      </c>
      <c r="J13" s="40">
        <f t="shared" si="2"/>
        <v>0</v>
      </c>
    </row>
    <row r="14" spans="1:10" x14ac:dyDescent="0.25">
      <c r="A14" s="34">
        <v>8</v>
      </c>
      <c r="B14" s="35">
        <f>DATE($B$3,8,1)</f>
        <v>46235</v>
      </c>
      <c r="C14" s="35">
        <f t="shared" si="0"/>
        <v>46265</v>
      </c>
      <c r="D14" s="34">
        <f>COUNTIFS('Tippmix napló'!$C$7:$C$133,"&gt;="&amp;B14,'Tippmix napló'!$C$7:$C$133,"&lt;"&amp;C14+1,'Tippmix napló'!$G$7:$G$133,"Nyert")+COUNTIFS('Tippmix napló'!$C$7:$C$133,"&gt;="&amp;B14,'Tippmix napló'!$C$7:$C$133,"&lt;"&amp;C14+1,'Tippmix napló'!$G$7:$G$133,"Veszített")</f>
        <v>4</v>
      </c>
      <c r="E14" s="34">
        <f>COUNTIFS('Tippmix napló'!$C$7:$C$133,"&gt;="&amp;B14,'Tippmix napló'!$C$7:$C$133,"&lt;"&amp;C14+1,'Tippmix napló'!$G$7:$G$133,"Nyert")</f>
        <v>3</v>
      </c>
      <c r="F14" s="34">
        <f>COUNTIFS('Tippmix napló'!$C$7:$C$133,"&gt;="&amp;B14,'Tippmix napló'!$C$7:$C$133,"&lt;"&amp;C14+1,'Tippmix napló'!$G$7:$G$133,"Veszített")</f>
        <v>1</v>
      </c>
      <c r="G14" s="36">
        <f t="shared" si="1"/>
        <v>0.75</v>
      </c>
      <c r="H14" s="37">
        <f>SUMIFS('Tippmix napló'!$I$7:$I$133,'Tippmix napló'!$C$7:$C$133,"&gt;="&amp;B14,'Tippmix napló'!$C$7:$C$133,"&lt;"&amp;C14+1)</f>
        <v>3160</v>
      </c>
      <c r="I14" s="37">
        <f>SUMIFS('Tippmix napló'!$D$7:$D$133,'Tippmix napló'!$C$7:$C$133,"&gt;="&amp;B14,'Tippmix napló'!$C$7:$C$133,"&lt;"&amp;C14+1,'Tippmix napló'!$G$7:$G$133,"Nyert")+SUMIFS('Tippmix napló'!$D$7:$D$133,'Tippmix napló'!$C$7:$C$133,"&gt;="&amp;B14,'Tippmix napló'!$C$7:$C$133,"&lt;"&amp;C14+1,'Tippmix napló'!$G$7:$G$133,"Veszített")</f>
        <v>4000</v>
      </c>
      <c r="J14" s="36">
        <f t="shared" si="2"/>
        <v>0.79</v>
      </c>
    </row>
    <row r="15" spans="1:10" x14ac:dyDescent="0.25">
      <c r="A15" s="38">
        <v>9</v>
      </c>
      <c r="B15" s="39">
        <f>DATE($B$3,9,1)</f>
        <v>46266</v>
      </c>
      <c r="C15" s="39">
        <f t="shared" si="0"/>
        <v>46295</v>
      </c>
      <c r="D15" s="38">
        <f>COUNTIFS('Tippmix napló'!$C$7:$C$133,"&gt;="&amp;B15,'Tippmix napló'!$C$7:$C$133,"&lt;"&amp;C15+1,'Tippmix napló'!$G$7:$G$133,"Nyert")+COUNTIFS('Tippmix napló'!$C$7:$C$133,"&gt;="&amp;B15,'Tippmix napló'!$C$7:$C$133,"&lt;"&amp;C15+1,'Tippmix napló'!$G$7:$G$133,"Veszített")</f>
        <v>37</v>
      </c>
      <c r="E15" s="38">
        <f>COUNTIFS('Tippmix napló'!$C$7:$C$133,"&gt;="&amp;B15,'Tippmix napló'!$C$7:$C$133,"&lt;"&amp;C15+1,'Tippmix napló'!$G$7:$G$133,"Nyert")</f>
        <v>22</v>
      </c>
      <c r="F15" s="38">
        <f>COUNTIFS('Tippmix napló'!$C$7:$C$133,"&gt;="&amp;B15,'Tippmix napló'!$C$7:$C$133,"&lt;"&amp;C15+1,'Tippmix napló'!$G$7:$G$133,"Veszített")</f>
        <v>15</v>
      </c>
      <c r="G15" s="40">
        <f t="shared" si="1"/>
        <v>0.5945945945945946</v>
      </c>
      <c r="H15" s="41">
        <f>SUMIFS('Tippmix napló'!$I$7:$I$133,'Tippmix napló'!$C$7:$C$133,"&gt;="&amp;B15,'Tippmix napló'!$C$7:$C$133,"&lt;"&amp;C15+1)</f>
        <v>4680</v>
      </c>
      <c r="I15" s="41">
        <f>SUMIFS('Tippmix napló'!$D$7:$D$133,'Tippmix napló'!$C$7:$C$133,"&gt;="&amp;B15,'Tippmix napló'!$C$7:$C$133,"&lt;"&amp;C15+1,'Tippmix napló'!$G$7:$G$133,"Nyert")+SUMIFS('Tippmix napló'!$D$7:$D$133,'Tippmix napló'!$C$7:$C$133,"&gt;="&amp;B15,'Tippmix napló'!$C$7:$C$133,"&lt;"&amp;C15+1,'Tippmix napló'!$G$7:$G$133,"Veszített")</f>
        <v>50000</v>
      </c>
      <c r="J15" s="40">
        <f t="shared" si="2"/>
        <v>0.0936</v>
      </c>
    </row>
    <row r="16" spans="1:10" x14ac:dyDescent="0.25">
      <c r="A16" s="34">
        <v>10</v>
      </c>
      <c r="B16" s="35">
        <f>DATE($B$3,10,1)</f>
        <v>46296</v>
      </c>
      <c r="C16" s="35">
        <f t="shared" si="0"/>
        <v>46326</v>
      </c>
      <c r="D16" s="34">
        <f>COUNTIFS('Tippmix napló'!$C$7:$C$133,"&gt;="&amp;B16,'Tippmix napló'!$C$7:$C$133,"&lt;"&amp;C16+1,'Tippmix napló'!$G$7:$G$133,"Nyert")+COUNTIFS('Tippmix napló'!$C$7:$C$133,"&gt;="&amp;B16,'Tippmix napló'!$C$7:$C$133,"&lt;"&amp;C16+1,'Tippmix napló'!$G$7:$G$133,"Veszített")</f>
        <v>25</v>
      </c>
      <c r="E16" s="34">
        <f>COUNTIFS('Tippmix napló'!$C$7:$C$133,"&gt;="&amp;B16,'Tippmix napló'!$C$7:$C$133,"&lt;"&amp;C16+1,'Tippmix napló'!$G$7:$G$133,"Nyert")</f>
        <v>15</v>
      </c>
      <c r="F16" s="34">
        <f>COUNTIFS('Tippmix napló'!$C$7:$C$133,"&gt;="&amp;B16,'Tippmix napló'!$C$7:$C$133,"&lt;"&amp;C16+1,'Tippmix napló'!$G$7:$G$133,"Veszített")</f>
        <v>10</v>
      </c>
      <c r="G16" s="36">
        <f t="shared" si="1"/>
        <v>0.6</v>
      </c>
      <c r="H16" s="37">
        <f>SUMIFS('Tippmix napló'!$I$7:$I$133,'Tippmix napló'!$C$7:$C$133,"&gt;="&amp;B16,'Tippmix napló'!$C$7:$C$133,"&lt;"&amp;C16+1)</f>
        <v>13340</v>
      </c>
      <c r="I16" s="37">
        <f>SUMIFS('Tippmix napló'!$D$7:$D$133,'Tippmix napló'!$C$7:$C$133,"&gt;="&amp;B16,'Tippmix napló'!$C$7:$C$133,"&lt;"&amp;C16+1,'Tippmix napló'!$G$7:$G$133,"Nyert")+SUMIFS('Tippmix napló'!$D$7:$D$133,'Tippmix napló'!$C$7:$C$133,"&gt;="&amp;B16,'Tippmix napló'!$C$7:$C$133,"&lt;"&amp;C16+1,'Tippmix napló'!$G$7:$G$133,"Veszített")</f>
        <v>50000</v>
      </c>
      <c r="J16" s="36">
        <f t="shared" si="2"/>
        <v>0.2668</v>
      </c>
    </row>
    <row r="17" spans="1:10" x14ac:dyDescent="0.25">
      <c r="A17" s="34">
        <v>11</v>
      </c>
      <c r="B17" s="35">
        <f>DATE($B$3,11,1)</f>
        <v>46327</v>
      </c>
      <c r="C17" s="35">
        <f t="shared" si="0"/>
        <v>46356</v>
      </c>
      <c r="D17" s="34">
        <f>COUNTIFS('Tippmix napló'!$C$7:$C$133,"&gt;="&amp;B17,'Tippmix napló'!$C$7:$C$133,"&lt;"&amp;C17+1,'Tippmix napló'!$G$7:$G$133,"Nyert")+COUNTIFS('Tippmix napló'!$C$7:$C$133,"&gt;="&amp;B17,'Tippmix napló'!$C$7:$C$133,"&lt;"&amp;C17+1,'Tippmix napló'!$G$7:$G$133,"Veszített")</f>
        <v>0</v>
      </c>
      <c r="E17" s="34">
        <f>COUNTIFS('Tippmix napló'!$C$7:$C$133,"&gt;="&amp;B17,'Tippmix napló'!$C$7:$C$133,"&lt;"&amp;C17+1,'Tippmix napló'!$G$7:$G$133,"Nyert")</f>
        <v>0</v>
      </c>
      <c r="F17" s="34">
        <f>COUNTIFS('Tippmix napló'!$C$7:$C$133,"&gt;="&amp;B17,'Tippmix napló'!$C$7:$C$133,"&lt;"&amp;C17+1,'Tippmix napló'!$G$7:$G$133,"Veszített")</f>
        <v>0</v>
      </c>
      <c r="G17" s="36">
        <f t="shared" si="1"/>
        <v>0</v>
      </c>
      <c r="H17" s="37">
        <f>SUMIFS('Tippmix napló'!$I$7:$I$133,'Tippmix napló'!$C$7:$C$133,"&gt;="&amp;B17,'Tippmix napló'!$C$7:$C$133,"&lt;"&amp;C17+1)</f>
        <v>0</v>
      </c>
      <c r="I17" s="37">
        <f>SUMIFS('Tippmix napló'!$D$7:$D$133,'Tippmix napló'!$C$7:$C$133,"&gt;="&amp;B17,'Tippmix napló'!$C$7:$C$133,"&lt;"&amp;C17+1,'Tippmix napló'!$G$7:$G$133,"Nyert")+SUMIFS('Tippmix napló'!$D$7:$D$133,'Tippmix napló'!$C$7:$C$133,"&gt;="&amp;B17,'Tippmix napló'!$C$7:$C$133,"&lt;"&amp;C17+1,'Tippmix napló'!$G$7:$G$133,"Veszített")</f>
        <v>0</v>
      </c>
      <c r="J17" s="36">
        <f t="shared" si="2"/>
        <v>0</v>
      </c>
    </row>
    <row r="18" spans="1:10" x14ac:dyDescent="0.25">
      <c r="A18" s="38">
        <v>12</v>
      </c>
      <c r="B18" s="39">
        <f>DATE($B$3,12,1)</f>
        <v>46357</v>
      </c>
      <c r="C18" s="39">
        <f t="shared" si="0"/>
        <v>46387</v>
      </c>
      <c r="D18" s="38">
        <f>COUNTIFS('Tippmix napló'!$C$7:$C$133,"&gt;="&amp;B18,'Tippmix napló'!$C$7:$C$133,"&lt;"&amp;C18+1,'Tippmix napló'!$G$7:$G$133,"Nyert")+COUNTIFS('Tippmix napló'!$C$7:$C$133,"&gt;="&amp;B18,'Tippmix napló'!$C$7:$C$133,"&lt;"&amp;C18+1,'Tippmix napló'!$G$7:$G$133,"Veszített")</f>
        <v>0</v>
      </c>
      <c r="E18" s="38">
        <f>COUNTIFS('Tippmix napló'!$C$7:$C$133,"&gt;="&amp;B18,'Tippmix napló'!$C$7:$C$133,"&lt;"&amp;C18+1,'Tippmix napló'!$G$7:$G$133,"Nyert")</f>
        <v>0</v>
      </c>
      <c r="F18" s="38">
        <f>COUNTIFS('Tippmix napló'!$C$7:$C$133,"&gt;="&amp;B18,'Tippmix napló'!$C$7:$C$133,"&lt;"&amp;C18+1,'Tippmix napló'!$G$7:$G$133,"Veszített")</f>
        <v>0</v>
      </c>
      <c r="G18" s="40">
        <f t="shared" si="1"/>
        <v>0</v>
      </c>
      <c r="H18" s="41">
        <f>SUMIFS('Tippmix napló'!$I$7:$I$133,'Tippmix napló'!$C$7:$C$133,"&gt;="&amp;B18,'Tippmix napló'!$C$7:$C$133,"&lt;"&amp;C18+1)</f>
        <v>0</v>
      </c>
      <c r="I18" s="41">
        <f>SUMIFS('Tippmix napló'!$D$7:$D$133,'Tippmix napló'!$C$7:$C$133,"&gt;="&amp;B18,'Tippmix napló'!$C$7:$C$133,"&lt;"&amp;C18+1,'Tippmix napló'!$G$7:$G$133,"Nyert")+SUMIFS('Tippmix napló'!$D$7:$D$133,'Tippmix napló'!$C$7:$C$133,"&gt;="&amp;B18,'Tippmix napló'!$C$7:$C$133,"&lt;"&amp;C18+1,'Tippmix napló'!$G$7:$G$133,"Veszített")</f>
        <v>0</v>
      </c>
      <c r="J18" s="40">
        <f t="shared" si="2"/>
        <v>0</v>
      </c>
    </row>
    <row r="19" spans="1:10" x14ac:dyDescent="0.25">
      <c r="A19" s="34"/>
      <c r="B19" s="42"/>
      <c r="C19" s="42"/>
      <c r="D19" s="34"/>
      <c r="E19" s="34"/>
      <c r="F19" s="34"/>
      <c r="G19" s="36"/>
      <c r="H19" s="43"/>
      <c r="I19" s="37"/>
      <c r="J19" s="36"/>
    </row>
  </sheetData>
  <autoFilter ref="A6:J18"/>
  <mergeCells count="2">
    <mergeCell ref="A1:J1"/>
    <mergeCell ref="L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Tippmix napló</vt:lpstr>
      <vt:lpstr>Havi elemzés</vt:lpstr>
      <vt:lpstr>Heti elemzés</vt:lpstr>
      <vt:lpstr>Statisztika</vt:lpstr>
      <vt:lpstr>Használat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Veres, Gergo</cp:lastModifiedBy>
  <dcterms:created xsi:type="dcterms:W3CDTF">2026-09-04T10:29:59Z</dcterms:created>
  <dcterms:modified xsi:type="dcterms:W3CDTF">2026-10-26T11:43:28Z</dcterms:modified>
</cp:coreProperties>
</file>