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<sst xmlns="http://schemas.openxmlformats.org/spreadsheetml/2006/main" count="303" uniqueCount="68">
  <si>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</si>
  <si>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</si>
  <si>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</si>
  <si>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</si>
  <si>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</si>
  <si>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</si>
  <si>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</si>
  <si>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</si>
  <si>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</si>
  <si>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</si>
  <si>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</si>
  <si>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</si>
  <si>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</si>
  <si>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</si>
  <si>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</si>
  <si>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</si>
  <si>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</si>
  <si>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</si>
  <si>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psg - arsenal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</si>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</sst>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46328.5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18</v>
      </c>
      <c r="K77" t="s">
        <v>15</v>
      </c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33</v>
      </c>
      <c r="B1"/>
      <c r="C1"/>
      <c r="D1"/>
      <c r="E1"/>
      <c r="F1"/>
      <c r="G1"/>
      <c r="H1"/>
      <c r="I1"/>
      <c r="J1"/>
      <c r="L1" s="25" t="s">
        <v>20</v>
      </c>
      <c r="M1"/>
    </row>
    <row r="3" spans="1:13" x14ac:dyDescent="0.25">
      <c r="A3" s="26" t="s">
        <v>21</v>
      </c>
      <c r="B3" s="27">
        <v>2026</v>
      </c>
      <c r="C3" s="28" t="s">
        <v>34</v>
      </c>
      <c r="L3" s="29" t="s">
        <v>23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24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25</v>
      </c>
      <c r="O5" s="44">
        <f>SUM(I7:I59)</f>
        <v>104000</v>
      </c>
    </row>
    <row r="6" ht="32.1" customHeight="1" spans="1:15" x14ac:dyDescent="0.25">
      <c r="A6" s="32" t="s">
        <v>35</v>
      </c>
      <c r="B6" s="32" t="s">
        <v>36</v>
      </c>
      <c r="C6" s="32" t="s">
        <v>37</v>
      </c>
      <c r="D6" s="32" t="s">
        <v>23</v>
      </c>
      <c r="E6" s="32" t="s">
        <v>14</v>
      </c>
      <c r="F6" s="32" t="s">
        <v>16</v>
      </c>
      <c r="G6" s="32" t="s">
        <v>29</v>
      </c>
      <c r="H6" s="32" t="s">
        <v>38</v>
      </c>
      <c r="I6" s="32" t="s">
        <v>31</v>
      </c>
      <c r="J6" s="32" t="s">
        <v>32</v>
      </c>
      <c r="L6" s="29" t="s">
        <v>29</v>
      </c>
      <c r="M6" s="33">
        <f>IFERROR(M4/M3,0)</f>
        <v>0.6060606060606061</v>
      </c>
      <c r="N6" s="29" t="s">
        <v>32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39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40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41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42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43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44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45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46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47</v>
      </c>
      <c r="B3" s="53" t="s">
        <v>5</v>
      </c>
      <c r="C3" s="54" t="s">
        <v>48</v>
      </c>
      <c r="D3"/>
      <c r="E3"/>
      <c r="F3"/>
    </row>
    <row r="4" spans="1:6" x14ac:dyDescent="0.25">
      <c r="A4" s="52" t="s">
        <v>49</v>
      </c>
      <c r="B4" s="53" t="s">
        <v>12</v>
      </c>
      <c r="C4" s="54" t="s">
        <v>50</v>
      </c>
      <c r="D4"/>
      <c r="E4"/>
      <c r="F4"/>
    </row>
    <row r="5" spans="1:6" x14ac:dyDescent="0.25">
      <c r="A5" s="52" t="s">
        <v>51</v>
      </c>
      <c r="B5" s="53" t="s">
        <v>52</v>
      </c>
      <c r="C5" s="54" t="s">
        <v>53</v>
      </c>
      <c r="D5"/>
      <c r="E5"/>
      <c r="F5"/>
    </row>
    <row r="6" spans="1:6" x14ac:dyDescent="0.25">
      <c r="A6" s="52" t="s">
        <v>54</v>
      </c>
      <c r="B6" s="53" t="s">
        <v>7</v>
      </c>
      <c r="C6" s="54" t="s">
        <v>55</v>
      </c>
      <c r="D6"/>
      <c r="E6"/>
      <c r="F6"/>
    </row>
    <row r="7" spans="1:6" x14ac:dyDescent="0.25">
      <c r="A7" s="52" t="s">
        <v>56</v>
      </c>
      <c r="B7" s="53" t="s">
        <v>6</v>
      </c>
      <c r="C7" s="54" t="s">
        <v>57</v>
      </c>
      <c r="D7"/>
      <c r="E7"/>
      <c r="F7"/>
    </row>
    <row r="8" spans="1:6" x14ac:dyDescent="0.25">
      <c r="A8" s="52" t="s">
        <v>58</v>
      </c>
      <c r="B8" s="53" t="s">
        <v>9</v>
      </c>
      <c r="C8" s="54" t="s">
        <v>59</v>
      </c>
      <c r="D8"/>
      <c r="E8"/>
      <c r="F8"/>
    </row>
    <row r="9" spans="1:6" x14ac:dyDescent="0.25">
      <c r="A9" s="52" t="s">
        <v>60</v>
      </c>
      <c r="B9" s="53" t="s">
        <v>61</v>
      </c>
      <c r="C9" s="54" t="s">
        <v>62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63</v>
      </c>
      <c r="B12" s="55" t="s">
        <v>64</v>
      </c>
      <c r="C12" s="56" t="s">
        <v>65</v>
      </c>
    </row>
    <row r="13" ht="105" customHeight="1" spans="1:3" x14ac:dyDescent="0.25">
      <c r="A13" s="55"/>
      <c r="B13" s="55" t="s">
        <v>66</v>
      </c>
      <c r="C13" s="56" t="s">
        <v>67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19</v>
      </c>
      <c r="B1"/>
      <c r="C1"/>
      <c r="D1"/>
      <c r="E1"/>
      <c r="F1"/>
      <c r="G1"/>
      <c r="H1"/>
      <c r="I1"/>
      <c r="J1"/>
      <c r="L1" s="25" t="s">
        <v>20</v>
      </c>
      <c r="M1"/>
    </row>
    <row r="3" spans="1:13" x14ac:dyDescent="0.25">
      <c r="A3" s="26" t="s">
        <v>21</v>
      </c>
      <c r="B3" s="27">
        <v>2026</v>
      </c>
      <c r="C3" s="28" t="s">
        <v>22</v>
      </c>
      <c r="L3" s="29" t="s">
        <v>23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24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25</v>
      </c>
      <c r="O5" s="31">
        <f>SUM(I7:I18)</f>
        <v>104000</v>
      </c>
    </row>
    <row r="6" ht="32.1" customHeight="1" spans="1:15" x14ac:dyDescent="0.25">
      <c r="A6" s="32" t="s">
        <v>26</v>
      </c>
      <c r="B6" s="32" t="s">
        <v>27</v>
      </c>
      <c r="C6" s="32" t="s">
        <v>28</v>
      </c>
      <c r="D6" s="32" t="s">
        <v>23</v>
      </c>
      <c r="E6" s="32" t="s">
        <v>14</v>
      </c>
      <c r="F6" s="32" t="s">
        <v>16</v>
      </c>
      <c r="G6" s="32" t="s">
        <v>29</v>
      </c>
      <c r="H6" s="32" t="s">
        <v>30</v>
      </c>
      <c r="I6" s="32" t="s">
        <v>31</v>
      </c>
      <c r="J6" s="32" t="s">
        <v>32</v>
      </c>
      <c r="L6" s="29" t="s">
        <v>29</v>
      </c>
      <c r="M6" s="33">
        <f>IFERROR(M4/M3,0)</f>
        <v>0.6060606060606061</v>
      </c>
      <c r="N6" s="29" t="s">
        <v>32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