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<sst xmlns="http://schemas.openxmlformats.org/spreadsheetml/2006/main" count="309" uniqueCount="72">
  <si>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</si>
  <si>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</si>
  <si>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</si>
  <si>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</si>
  <si>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</si>
  <si>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</si>
  <si>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</si>
  <si>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</si>
  <si>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</si>
  <si>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</si>
  <si>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</si>
  <si>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</si>
  <si>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</si>
  <si>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</si>
  <si>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</si>
  <si>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</si>
  <si>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</si>
  <si>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Függőben</t>
  </si>
  <si>
    <t>psg - arsenal</t>
  </si>
  <si>
    <t>psg - arsenal, magyar-dán</t>
  </si>
  <si>
    <t>1, x2</t>
  </si>
  <si>
    <t>psg - arsenal, magyar-dan, foci-kosar</t>
  </si>
  <si>
    <t>1,5over, 2,5over, 1x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</si>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</sst>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>
        <v>46323.5</v>
      </c>
      <c r="D75" s="18">
        <v>2000</v>
      </c>
      <c r="E75" s="19">
        <v>2.33</v>
      </c>
      <c r="F75" s="20">
        <f>IF(OR(E75="",D75=""),"",E75*D75)</f>
      </c>
      <c r="G75" s="21" t="s">
        <v>16</v>
      </c>
      <c r="H75" s="20">
        <f>IF(G75="Nyert",F75,0)</f>
      </c>
      <c r="I75" s="22">
        <f>IF(G75="Nyert",H75-D75,IF(G75="Veszített",-D75,0))</f>
      </c>
      <c r="J75" t="s">
        <v>15</v>
      </c>
      <c r="K75" t="s">
        <v>15</v>
      </c>
      <c r="L75" s="1"/>
    </row>
    <row r="76" ht="18.75" customHeight="1" spans="1:12" x14ac:dyDescent="0.25">
      <c r="A76" s="1"/>
      <c r="B76" s="1"/>
      <c r="C76" s="17">
        <v>46324.5</v>
      </c>
      <c r="D76" s="18">
        <v>2000</v>
      </c>
      <c r="E76" s="19">
        <v>2.2</v>
      </c>
      <c r="F76" s="23">
        <f>IF(OR(E76="",D76=""),"",E76*D76)</f>
      </c>
      <c r="G76" s="21" t="s">
        <v>17</v>
      </c>
      <c r="H76" s="23">
        <f>IF(G76="Nyert",F76,0)</f>
      </c>
      <c r="I76" s="22">
        <f>IF(G76="Nyert",H76-D76,IF(G76="Veszített",-D76,0))</f>
      </c>
      <c r="J76" t="s">
        <v>15</v>
      </c>
      <c r="K76" t="s">
        <v>15</v>
      </c>
      <c r="L76" s="1"/>
    </row>
    <row r="77" ht="18.75" customHeight="1" spans="1:12" x14ac:dyDescent="0.25">
      <c r="A77" s="1"/>
      <c r="B77" s="1"/>
      <c r="C77" s="17">
        <v>46328.5</v>
      </c>
      <c r="D77" s="18">
        <v>2000</v>
      </c>
      <c r="E77" s="19">
        <v>2.5</v>
      </c>
      <c r="F77" s="20">
        <f>IF(OR(E77="",D77=""),"",E77*D77)</f>
      </c>
      <c r="G77" s="21" t="s">
        <v>17</v>
      </c>
      <c r="H77" s="20">
        <f>IF(G77="Nyert",F77,0)</f>
      </c>
      <c r="I77" s="22">
        <f>IF(G77="Nyert",H77-D77,IF(G77="Veszített",-D77,0))</f>
      </c>
      <c r="J77" t="s">
        <v>18</v>
      </c>
      <c r="K77" t="s">
        <v>15</v>
      </c>
      <c r="L77" s="1"/>
    </row>
    <row r="78" ht="18.75" customHeight="1" spans="1:12" x14ac:dyDescent="0.25">
      <c r="A78" s="1"/>
      <c r="B78" s="1"/>
      <c r="C78" s="17">
        <v>46329.5</v>
      </c>
      <c r="D78" s="18">
        <v>2000</v>
      </c>
      <c r="E78" s="19">
        <v>2.5</v>
      </c>
      <c r="F78" s="23">
        <f>IF(OR(E78="",D78=""),"",E78*D78)</f>
      </c>
      <c r="G78" s="21" t="s">
        <v>17</v>
      </c>
      <c r="H78" s="23">
        <f>IF(G78="Nyert",F78,0)</f>
      </c>
      <c r="I78" s="22">
        <f>IF(G78="Nyert",H78-D78,IF(G78="Veszített",-D78,0))</f>
      </c>
      <c r="J78" t="s">
        <v>19</v>
      </c>
      <c r="K78" t="s">
        <v>20</v>
      </c>
      <c r="L78" s="1"/>
    </row>
    <row r="79" ht="18.75" customHeight="1" spans="1:12" x14ac:dyDescent="0.25">
      <c r="A79" s="1"/>
      <c r="B79" s="1"/>
      <c r="C79" s="17">
        <v>46330.5</v>
      </c>
      <c r="D79" s="18">
        <v>2000</v>
      </c>
      <c r="E79" s="19">
        <v>2.5</v>
      </c>
      <c r="F79" s="20">
        <f>IF(OR(E79="",D79=""),"",E79*D79)</f>
      </c>
      <c r="G79" s="21" t="s">
        <v>17</v>
      </c>
      <c r="H79" s="20">
        <f>IF(G79="Nyert",F79,0)</f>
      </c>
      <c r="I79" s="22">
        <f>IF(G79="Nyert",H79-D79,IF(G79="Veszített",-D79,0))</f>
      </c>
      <c r="J79" t="s">
        <v>21</v>
      </c>
      <c r="K79" t="s">
        <v>22</v>
      </c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37</v>
      </c>
      <c r="B1"/>
      <c r="C1"/>
      <c r="D1"/>
      <c r="E1"/>
      <c r="F1"/>
      <c r="G1"/>
      <c r="H1"/>
      <c r="I1"/>
      <c r="J1"/>
      <c r="L1" s="25" t="s">
        <v>24</v>
      </c>
      <c r="M1"/>
    </row>
    <row r="3" spans="1:13" x14ac:dyDescent="0.25">
      <c r="A3" s="26" t="s">
        <v>25</v>
      </c>
      <c r="B3" s="27">
        <v>2026</v>
      </c>
      <c r="C3" s="28" t="s">
        <v>38</v>
      </c>
      <c r="L3" s="29" t="s">
        <v>27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28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29</v>
      </c>
      <c r="O5" s="44">
        <f>SUM(I7:I59)</f>
        <v>104000</v>
      </c>
    </row>
    <row r="6" ht="32.1" customHeight="1" spans="1:15" x14ac:dyDescent="0.25">
      <c r="A6" s="32" t="s">
        <v>39</v>
      </c>
      <c r="B6" s="32" t="s">
        <v>40</v>
      </c>
      <c r="C6" s="32" t="s">
        <v>41</v>
      </c>
      <c r="D6" s="32" t="s">
        <v>27</v>
      </c>
      <c r="E6" s="32" t="s">
        <v>14</v>
      </c>
      <c r="F6" s="32" t="s">
        <v>16</v>
      </c>
      <c r="G6" s="32" t="s">
        <v>33</v>
      </c>
      <c r="H6" s="32" t="s">
        <v>42</v>
      </c>
      <c r="I6" s="32" t="s">
        <v>35</v>
      </c>
      <c r="J6" s="32" t="s">
        <v>36</v>
      </c>
      <c r="L6" s="29" t="s">
        <v>33</v>
      </c>
      <c r="M6" s="33">
        <f>IFERROR(M4/M3,0)</f>
        <v>0.6060606060606061</v>
      </c>
      <c r="N6" s="29" t="s">
        <v>36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43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44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45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46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47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48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49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50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51</v>
      </c>
      <c r="B3" s="53" t="s">
        <v>5</v>
      </c>
      <c r="C3" s="54" t="s">
        <v>52</v>
      </c>
      <c r="D3"/>
      <c r="E3"/>
      <c r="F3"/>
    </row>
    <row r="4" spans="1:6" x14ac:dyDescent="0.25">
      <c r="A4" s="52" t="s">
        <v>53</v>
      </c>
      <c r="B4" s="53" t="s">
        <v>12</v>
      </c>
      <c r="C4" s="54" t="s">
        <v>54</v>
      </c>
      <c r="D4"/>
      <c r="E4"/>
      <c r="F4"/>
    </row>
    <row r="5" spans="1:6" x14ac:dyDescent="0.25">
      <c r="A5" s="52" t="s">
        <v>55</v>
      </c>
      <c r="B5" s="53" t="s">
        <v>56</v>
      </c>
      <c r="C5" s="54" t="s">
        <v>57</v>
      </c>
      <c r="D5"/>
      <c r="E5"/>
      <c r="F5"/>
    </row>
    <row r="6" spans="1:6" x14ac:dyDescent="0.25">
      <c r="A6" s="52" t="s">
        <v>58</v>
      </c>
      <c r="B6" s="53" t="s">
        <v>7</v>
      </c>
      <c r="C6" s="54" t="s">
        <v>59</v>
      </c>
      <c r="D6"/>
      <c r="E6"/>
      <c r="F6"/>
    </row>
    <row r="7" spans="1:6" x14ac:dyDescent="0.25">
      <c r="A7" s="52" t="s">
        <v>60</v>
      </c>
      <c r="B7" s="53" t="s">
        <v>6</v>
      </c>
      <c r="C7" s="54" t="s">
        <v>61</v>
      </c>
      <c r="D7"/>
      <c r="E7"/>
      <c r="F7"/>
    </row>
    <row r="8" spans="1:6" x14ac:dyDescent="0.25">
      <c r="A8" s="52" t="s">
        <v>62</v>
      </c>
      <c r="B8" s="53" t="s">
        <v>9</v>
      </c>
      <c r="C8" s="54" t="s">
        <v>63</v>
      </c>
      <c r="D8"/>
      <c r="E8"/>
      <c r="F8"/>
    </row>
    <row r="9" spans="1:6" x14ac:dyDescent="0.25">
      <c r="A9" s="52" t="s">
        <v>64</v>
      </c>
      <c r="B9" s="53" t="s">
        <v>65</v>
      </c>
      <c r="C9" s="54" t="s">
        <v>66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67</v>
      </c>
      <c r="B12" s="55" t="s">
        <v>68</v>
      </c>
      <c r="C12" s="56" t="s">
        <v>69</v>
      </c>
    </row>
    <row r="13" ht="105" customHeight="1" spans="1:3" x14ac:dyDescent="0.25">
      <c r="A13" s="55"/>
      <c r="B13" s="55" t="s">
        <v>70</v>
      </c>
      <c r="C13" s="56" t="s">
        <v>71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23</v>
      </c>
      <c r="B1"/>
      <c r="C1"/>
      <c r="D1"/>
      <c r="E1"/>
      <c r="F1"/>
      <c r="G1"/>
      <c r="H1"/>
      <c r="I1"/>
      <c r="J1"/>
      <c r="L1" s="25" t="s">
        <v>24</v>
      </c>
      <c r="M1"/>
    </row>
    <row r="3" spans="1:13" x14ac:dyDescent="0.25">
      <c r="A3" s="26" t="s">
        <v>25</v>
      </c>
      <c r="B3" s="27">
        <v>2026</v>
      </c>
      <c r="C3" s="28" t="s">
        <v>26</v>
      </c>
      <c r="L3" s="29" t="s">
        <v>27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28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29</v>
      </c>
      <c r="O5" s="31">
        <f>SUM(I7:I18)</f>
        <v>104000</v>
      </c>
    </row>
    <row r="6" ht="32.1" customHeight="1" spans="1:15" x14ac:dyDescent="0.25">
      <c r="A6" s="32" t="s">
        <v>30</v>
      </c>
      <c r="B6" s="32" t="s">
        <v>31</v>
      </c>
      <c r="C6" s="32" t="s">
        <v>32</v>
      </c>
      <c r="D6" s="32" t="s">
        <v>27</v>
      </c>
      <c r="E6" s="32" t="s">
        <v>14</v>
      </c>
      <c r="F6" s="32" t="s">
        <v>16</v>
      </c>
      <c r="G6" s="32" t="s">
        <v>33</v>
      </c>
      <c r="H6" s="32" t="s">
        <v>34</v>
      </c>
      <c r="I6" s="32" t="s">
        <v>35</v>
      </c>
      <c r="J6" s="32" t="s">
        <v>36</v>
      </c>
      <c r="L6" s="29" t="s">
        <v>33</v>
      </c>
      <c r="M6" s="33">
        <f>IFERROR(M4/M3,0)</f>
        <v>0.6060606060606061</v>
      </c>
      <c r="N6" s="29" t="s">
        <v>36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